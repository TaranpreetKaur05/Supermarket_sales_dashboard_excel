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ml.chartshapes+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timelines/timeline1.xml" ContentType="application/vnd.ms-excel.timelin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timelines/timeline2.xml" ContentType="application/vnd.ms-excel.timeline+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8.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9.xml" ContentType="application/vnd.openxmlformats-officedocument.drawing+xml"/>
  <Override PartName="/xl/charts/chart20.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0.xml" ContentType="application/vnd.openxmlformats-officedocument.drawing+xml"/>
  <Override PartName="/xl/charts/chart21.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1.xml" ContentType="application/vnd.openxmlformats-officedocument.drawingml.chartshapes+xml"/>
  <Override PartName="/xl/pivotTables/pivotTable14.xml" ContentType="application/vnd.openxmlformats-officedocument.spreadsheetml.pivotTable+xml"/>
  <Override PartName="/xl/drawings/drawing12.xml" ContentType="application/vnd.openxmlformats-officedocument.drawing+xml"/>
  <Override PartName="/xl/charts/chart22.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5.xml" ContentType="application/vnd.openxmlformats-officedocument.spreadsheetml.pivotTable+xml"/>
  <Override PartName="/xl/drawings/drawing13.xml" ContentType="application/vnd.openxmlformats-officedocument.drawing+xml"/>
  <Override PartName="/xl/charts/chart23.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6.xml" ContentType="application/vnd.openxmlformats-officedocument.spreadsheetml.pivotTable+xml"/>
  <Override PartName="/xl/drawings/drawing14.xml" ContentType="application/vnd.openxmlformats-officedocument.drawing+xml"/>
  <Override PartName="/xl/slicers/slicer2.xml" ContentType="application/vnd.ms-excel.slicer+xml"/>
  <Override PartName="/xl/pivotTables/pivotTable17.xml" ContentType="application/vnd.openxmlformats-officedocument.spreadsheetml.pivotTable+xml"/>
  <Override PartName="/xl/drawings/drawing15.xml" ContentType="application/vnd.openxmlformats-officedocument.drawing+xml"/>
  <Override PartName="/xl/charts/chart24.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8.xml" ContentType="application/vnd.openxmlformats-officedocument.spreadsheetml.pivotTable+xml"/>
  <Override PartName="/xl/drawings/drawing16.xml" ContentType="application/vnd.openxmlformats-officedocument.drawing+xml"/>
  <Override PartName="/xl/charts/chart25.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9.xml" ContentType="application/vnd.openxmlformats-officedocument.spreadsheetml.pivotTable+xml"/>
  <Override PartName="/xl/drawings/drawing17.xml" ContentType="application/vnd.openxmlformats-officedocument.drawing+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0.xml" ContentType="application/vnd.openxmlformats-officedocument.spreadsheetml.pivotTable+xml"/>
  <Override PartName="/xl/drawings/drawing18.xml" ContentType="application/vnd.openxmlformats-officedocument.drawing+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9.xml" ContentType="application/vnd.openxmlformats-officedocument.drawing+xml"/>
  <Override PartName="/xl/charts/chart28.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23.xml" ContentType="application/vnd.openxmlformats-officedocument.spreadsheetml.pivotTable+xml"/>
  <Override PartName="/xl/drawings/drawing20.xml" ContentType="application/vnd.openxmlformats-officedocument.drawing+xml"/>
  <Override PartName="/xl/charts/chart29.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4.xml" ContentType="application/vnd.openxmlformats-officedocument.spreadsheetml.pivotTable+xml"/>
  <Override PartName="/xl/drawings/drawing21.xml" ContentType="application/vnd.openxmlformats-officedocument.drawing+xml"/>
  <Override PartName="/xl/slicers/slicer3.xml" ContentType="application/vnd.ms-excel.slicer+xml"/>
  <Override PartName="/xl/pivotTables/pivotTable25.xml" ContentType="application/vnd.openxmlformats-officedocument.spreadsheetml.pivotTable+xml"/>
  <Override PartName="/xl/drawings/drawing22.xml" ContentType="application/vnd.openxmlformats-officedocument.drawing+xml"/>
  <Override PartName="/xl/charts/chart30.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26.xml" ContentType="application/vnd.openxmlformats-officedocument.spreadsheetml.pivotTable+xml"/>
  <Override PartName="/xl/drawings/drawing23.xml" ContentType="application/vnd.openxmlformats-officedocument.drawing+xml"/>
  <Override PartName="/xl/charts/chart31.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27.xml" ContentType="application/vnd.openxmlformats-officedocument.spreadsheetml.pivotTable+xml"/>
  <Override PartName="/xl/drawings/drawing24.xml" ContentType="application/vnd.openxmlformats-officedocument.drawing+xml"/>
  <Override PartName="/xl/charts/chart32.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28.xml" ContentType="application/vnd.openxmlformats-officedocument.spreadsheetml.pivotTable+xml"/>
  <Override PartName="/xl/drawings/drawing25.xml" ContentType="application/vnd.openxmlformats-officedocument.drawing+xml"/>
  <Override PartName="/xl/charts/chart33.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2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19026ed46f75e0c6/Ds/"/>
    </mc:Choice>
  </mc:AlternateContent>
  <xr:revisionPtr revIDLastSave="8" documentId="8_{CA19E20E-BD98-417F-BDF6-1ECE9BD6577D}" xr6:coauthVersionLast="47" xr6:coauthVersionMax="47" xr10:uidLastSave="{A64148F1-C9BE-4756-9286-2243790408BB}"/>
  <bookViews>
    <workbookView xWindow="-108" yWindow="-108" windowWidth="23256" windowHeight="12456" tabRatio="997" activeTab="3" xr2:uid="{0CE4BA05-CA24-4E79-BE64-5B79EA50E14D}"/>
  </bookViews>
  <sheets>
    <sheet name="Dashboard" sheetId="9" r:id="rId1"/>
    <sheet name="Branch_Analysis" sheetId="15" r:id="rId2"/>
    <sheet name="Product_Analysis" sheetId="38" r:id="rId3"/>
    <sheet name="Deeper_Analysis" sheetId="13" r:id="rId4"/>
    <sheet name="Data" sheetId="1" r:id="rId5"/>
    <sheet name="Deeper_analysis_total" sheetId="54" r:id="rId6"/>
    <sheet name="Deeper_ana_quantity" sheetId="58" r:id="rId7"/>
    <sheet name="Deeper_analysis_sales" sheetId="57" r:id="rId8"/>
    <sheet name="Dashboard_Total_Sales" sheetId="4" r:id="rId9"/>
    <sheet name="Dashboard_Gross_income" sheetId="6" r:id="rId10"/>
    <sheet name="Dashboard_Quantity_products" sheetId="5" r:id="rId11"/>
    <sheet name="Dashboard_5%Tax_branch" sheetId="26" r:id="rId12"/>
    <sheet name="Dashboard_Sales_Branch" sheetId="19" r:id="rId13"/>
    <sheet name="Dashboard_Ratings" sheetId="7" r:id="rId14"/>
    <sheet name="Dashboard_Quantity_Branch" sheetId="18" r:id="rId15"/>
    <sheet name="Customer_anal_quantity" sheetId="51" r:id="rId16"/>
    <sheet name="Customer_unitprice" sheetId="52" r:id="rId17"/>
    <sheet name="dashboard_slicer_Payment" sheetId="20" r:id="rId18"/>
    <sheet name="Dashboard_Product_Sales" sheetId="17" r:id="rId19"/>
    <sheet name="Customer_sales" sheetId="53" r:id="rId20"/>
    <sheet name="Customer_analysis_sales" sheetId="45" r:id="rId21"/>
    <sheet name="Product_anyl_unitprice" sheetId="50" r:id="rId22"/>
    <sheet name="Product_line_table" sheetId="39" r:id="rId23"/>
    <sheet name="Product_line_quantity" sheetId="41" r:id="rId24"/>
    <sheet name="Product_line_gross" sheetId="42" r:id="rId25"/>
    <sheet name="Slicer_Dashboard" sheetId="21" r:id="rId26"/>
    <sheet name="Branch_anl_total" sheetId="30" r:id="rId27"/>
    <sheet name="Branch_anal_quantitusold" sheetId="32" r:id="rId28"/>
    <sheet name="Branch_anal_rating" sheetId="34" r:id="rId29"/>
    <sheet name="Branch_anal_unitpric" sheetId="48" r:id="rId30"/>
    <sheet name="Branch_Any_table" sheetId="35" r:id="rId31"/>
  </sheets>
  <definedNames>
    <definedName name="NativeTimeline_Date">#N/A</definedName>
    <definedName name="Slicer_Branch">#N/A</definedName>
    <definedName name="Slicer_Customer_type">#N/A</definedName>
    <definedName name="Slicer_Gender">#N/A</definedName>
    <definedName name="Slicer_Payment">#N/A</definedName>
    <definedName name="Slicer_Product_line">#N/A</definedName>
  </definedNames>
  <calcPr calcId="191029"/>
  <pivotCaches>
    <pivotCache cacheId="0" r:id="rId32"/>
  </pivotCaches>
  <extLst>
    <ext xmlns:x14="http://schemas.microsoft.com/office/spreadsheetml/2009/9/main" uri="{BBE1A952-AA13-448e-AADC-164F8A28A991}">
      <x14:slicerCaches>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5" l="1"/>
  <c r="B12" i="7"/>
  <c r="B12" i="6"/>
  <c r="B9" i="26"/>
  <c r="B13" i="4"/>
</calcChain>
</file>

<file path=xl/sharedStrings.xml><?xml version="1.0" encoding="utf-8"?>
<sst xmlns="http://schemas.openxmlformats.org/spreadsheetml/2006/main" count="7232" uniqueCount="1060">
  <si>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</si>
  <si>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</si>
  <si>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</si>
  <si>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</si>
  <si>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</si>
  <si>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</si>
  <si>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</si>
  <si>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</si>
  <si>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</si>
  <si>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</si>
  <si>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</si>
  <si>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</si>
  <si>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</si>
  <si>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</si>
  <si>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</si>
  <si>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</si>
  <si>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</si>
  <si>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</si>
  <si>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</si>
  <si>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</si>
  <si>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</si>
  <si>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</si>
  <si>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</si>
  <si>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</si>
  <si>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</si>
  <si>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</si>
  <si>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</si>
  <si>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</si>
  <si>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</si>
  <si>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</si>
  <si>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</si>
  <si>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</si>
  <si>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</si>
  <si>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</si>
  <si>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</si>
  <si>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</si>
  <si>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</si>
  <si>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</si>
  <si>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</si>
  <si>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</si>
  <si>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</si>
  <si>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</si>
  <si>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</si>
  <si>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</si>
  <si>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</si>
  <si>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</si>
  <si>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</si>
  <si>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</si>
  <si>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</si>
  <si>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</si>
  <si>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</si>
  <si>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</si>
  <si>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</si>
  <si>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</si>
  <si>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</si>
  <si>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</si>
  <si>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</si>
  <si>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</si>
  <si>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</si>
  <si>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</si>
  <si>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</si>
  <si>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</si>
  <si>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</si>
  <si>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</si>
  <si>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</si>
  <si>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</si>
  <si>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</si>
  <si>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</si>
  <si>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</si>
  <si>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</si>
  <si>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</si>
  <si>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</si>
  <si>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</si>
  <si>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</si>
  <si>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</si>
  <si>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</si>
  <si>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</si>
  <si>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</si>
  <si>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</si>
  <si>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</si>
  <si>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</si>
  <si>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</si>
  <si>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</si>
  <si>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</si>
  <si>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</si>
  <si>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</si>
  <si>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</si>
  <si>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</si>
  <si>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</si>
  <si>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</si>
  <si>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</si>
  <si>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</si>
  <si>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</si>
  <si>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</si>
  <si>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</si>
  <si>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</si>
  <si>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</si>
  <si>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</si>
  <si>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</si>
  <si>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</si>
  <si>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</si>
  <si>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</si>
  <si>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</si>
  <si>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</si>
  <si>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</si>
  <si>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</si>
  <si>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</si>
  <si>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</si>
  <si>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</si>
  <si>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</si>
  <si>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</si>
  <si>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</si>
  <si>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</si>
  <si>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</si>
  <si>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</si>
  <si>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</si>
  <si>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</si>
  <si>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</si>
  <si>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</si>
  <si>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</si>
  <si>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</si>
  <si>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</si>
  <si>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</si>
  <si>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</si>
  <si>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</si>
  <si>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</si>
  <si>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</si>
  <si>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</si>
  <si>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</si>
  <si>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</si>
  <si>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</si>
  <si>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</si>
  <si>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</si>
  <si>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</si>
  <si>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</si>
  <si>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</si>
  <si>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</si>
  <si>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</si>
  <si>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</si>
  <si>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</si>
  <si>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</si>
  <si>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</si>
  <si>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</si>
  <si>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</si>
  <si>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</si>
  <si>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</si>
  <si>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</si>
  <si>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</si>
  <si>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</si>
  <si>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</si>
  <si>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</si>
  <si>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</si>
  <si>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</si>
  <si>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</si>
  <si>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</si>
  <si>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</si>
  <si>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</si>
  <si>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</si>
  <si>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</si>
  <si>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</si>
  <si>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</si>
  <si>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</si>
  <si>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</si>
  <si>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</si>
  <si>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</si>
  <si>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</si>
  <si>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</si>
  <si>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</si>
  <si>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</si>
  <si>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</si>
  <si>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</si>
  <si>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</si>
  <si>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</si>
  <si>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</si>
  <si>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</si>
  <si>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</si>
  <si>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</si>
  <si>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</si>
  <si>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</si>
  <si>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</si>
  <si>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</si>
  <si>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</si>
  <si>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</si>
  <si>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</si>
  <si>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</si>
  <si>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</si>
  <si>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</si>
  <si>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</si>
  <si>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</si>
  <si>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</si>
  <si>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</si>
  <si>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</si>
  <si>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</si>
  <si>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</si>
  <si>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</si>
  <si>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</si>
  <si>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</si>
  <si>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</si>
  <si>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</si>
  <si>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</si>
  <si>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</si>
  <si>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</si>
  <si>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</si>
  <si>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</si>
  <si>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</si>
  <si>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</si>
  <si>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</si>
  <si>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</si>
  <si>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</si>
  <si>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</si>
  <si>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</si>
  <si>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</si>
  <si>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</si>
  <si>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</si>
  <si>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</si>
  <si>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</si>
  <si>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</si>
  <si>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</si>
  <si>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</si>
  <si>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</si>
  <si>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</si>
  <si>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</si>
  <si>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</si>
  <si>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</si>
  <si>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</si>
  <si>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</si>
  <si>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</si>
  <si>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</si>
  <si>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</si>
  <si>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</si>
  <si>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</si>
  <si>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</si>
  <si>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</si>
  <si>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</si>
  <si>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</si>
  <si>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</si>
  <si>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</si>
  <si>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</si>
  <si>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</si>
  <si>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</si>
  <si>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</si>
  <si>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</si>
  <si>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</si>
  <si>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</si>
  <si>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</si>
  <si>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</si>
  <si>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</si>
  <si>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</si>
  <si>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</si>
  <si>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</si>
  <si>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</si>
  <si>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</si>
  <si>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</si>
  <si>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</si>
  <si>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</si>
  <si>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</si>
  <si>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</si>
  <si>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</si>
  <si>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</si>
  <si>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</si>
  <si>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</si>
  <si>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</si>
  <si>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</si>
  <si>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</si>
  <si>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</si>
  <si>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</si>
  <si>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</si>
  <si>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</si>
  <si>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</si>
  <si>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</si>
  <si>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</si>
  <si>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</si>
  <si>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</si>
  <si>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</si>
  <si>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</si>
  <si>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</si>
  <si>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</si>
  <si>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</si>
  <si>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</si>
  <si>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</si>
  <si>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</si>
  <si>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</si>
  <si>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</si>
  <si>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</si>
  <si>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</si>
  <si>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</si>
  <si>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</si>
  <si>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</si>
  <si>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</si>
  <si>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</si>
  <si>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</si>
  <si>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</si>
  <si>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</si>
  <si>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</si>
  <si>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</si>
  <si>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</si>
  <si>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</si>
  <si>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</si>
  <si>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</si>
  <si>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</si>
  <si>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</si>
  <si>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</si>
  <si>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</si>
  <si>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</si>
  <si>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</si>
  <si>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</si>
  <si>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</si>
  <si>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</si>
  <si>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</si>
  <si>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</si>
  <si>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</si>
  <si>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</si>
  <si>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</si>
  <si>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</si>
  <si>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</si>
  <si>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</si>
  <si>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</si>
  <si>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</si>
  <si>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</si>
  <si>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</si>
  <si>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</si>
  <si>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</si>
  <si>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</si>
  <si>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</si>
  <si>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</si>
  <si>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</si>
  <si>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</si>
  <si>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</si>
  <si>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</si>
  <si>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</si>
  <si>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</si>
  <si>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</si>
  <si>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</si>
  <si>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</si>
  <si>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</si>
  <si>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</si>
  <si>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</si>
  <si>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</si>
  <si>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</si>
  <si>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</si>
  <si>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</si>
  <si>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</si>
  <si>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</si>
  <si>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</si>
  <si>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</si>
  <si>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</si>
  <si>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</si>
  <si>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</si>
  <si>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</si>
  <si>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</si>
  <si>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</si>
  <si>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</si>
  <si>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</si>
  <si>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</si>
  <si>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</si>
  <si>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</si>
  <si>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</si>
  <si>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</si>
  <si>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</si>
  <si>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</si>
  <si>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</si>
  <si>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</si>
  <si>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</si>
  <si>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</si>
  <si>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</si>
  <si>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</si>
  <si>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</si>
  <si>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</si>
  <si>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</si>
  <si>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</si>
  <si>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</si>
  <si>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</si>
  <si>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</si>
  <si>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</si>
  <si>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</si>
  <si>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</si>
  <si>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</si>
  <si>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</si>
  <si>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</si>
  <si>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</si>
  <si>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</si>
  <si>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</si>
  <si>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</si>
  <si>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</si>
  <si>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</si>
  <si>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</si>
  <si>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</si>
  <si>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</si>
  <si>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</si>
  <si>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</si>
  <si>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</si>
  <si>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</si>
  <si>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</si>
  <si>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</si>
  <si>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</si>
  <si>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</si>
  <si>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</si>
  <si>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</si>
  <si>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</si>
  <si>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</si>
  <si>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</si>
  <si>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</si>
  <si>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</si>
  <si>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</si>
  <si>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</si>
  <si>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</si>
  <si>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</si>
  <si>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</si>
  <si>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</si>
  <si>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</si>
  <si>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</si>
  <si>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</si>
  <si>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</si>
  <si>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</si>
  <si>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</si>
  <si>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</si>
  <si>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</si>
  <si>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</si>
  <si>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</si>
  <si>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</si>
  <si>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</si>
  <si>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</si>
  <si>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</si>
  <si>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</si>
  <si>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</si>
  <si>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</si>
  <si>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</si>
  <si>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</si>
  <si>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</si>
  <si>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</si>
  <si>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</si>
  <si>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</si>
  <si>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</si>
  <si>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</si>
  <si>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</si>
  <si>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</si>
  <si>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</si>
  <si>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</si>
  <si>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</si>
  <si>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</si>
  <si>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</si>
  <si>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</si>
  <si>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</si>
  <si>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</si>
  <si>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</si>
  <si>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</si>
  <si>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</si>
  <si>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</si>
  <si>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</si>
  <si>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</si>
  <si>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</si>
  <si>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</si>
  <si>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</si>
  <si>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</si>
  <si>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</si>
  <si>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</si>
  <si>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</si>
  <si>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</si>
  <si>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</si>
  <si>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</si>
  <si>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</si>
  <si>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</si>
  <si>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</si>
  <si>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</si>
  <si>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</si>
  <si>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</si>
  <si>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</si>
  <si>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</si>
  <si>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</si>
  <si>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</si>
  <si>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</si>
  <si>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</si>
  <si>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</si>
  <si>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</si>
  <si>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</si>
  <si>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</si>
  <si>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</si>
  <si>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</si>
  <si>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</si>
  <si>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</si>
  <si>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</si>
  <si>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</si>
  <si>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</si>
  <si>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</si>
  <si>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</si>
  <si>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</si>
  <si>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</si>
  <si>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</si>
  <si>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</si>
  <si>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</si>
  <si>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</si>
  <si>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</si>
  <si>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</si>
  <si>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</si>
  <si>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</si>
  <si>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</si>
  <si>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</si>
  <si>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</si>
  <si>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</si>
  <si>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</si>
  <si>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</si>
  <si>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</si>
  <si>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</si>
  <si>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</si>
  <si>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</si>
  <si>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</si>
  <si>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</si>
  <si>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</si>
  <si>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</si>
  <si>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</si>
  <si>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</si>
  <si>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</si>
  <si>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</si>
  <si>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</si>
  <si>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</si>
  <si>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</si>
  <si>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</si>
  <si>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</si>
  <si>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</si>
  <si>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</si>
  <si>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</si>
  <si>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</si>
  <si>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</si>
  <si>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</si>
  <si>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</si>
  <si>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</si>
  <si>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</si>
  <si>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</si>
  <si>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</si>
  <si>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</si>
  <si>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</si>
  <si>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</si>
  <si>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</si>
  <si>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</si>
  <si>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</si>
  <si>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</si>
  <si>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</si>
  <si>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</si>
  <si>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</si>
  <si>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</si>
  <si>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</si>
  <si>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</si>
  <si>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</si>
  <si>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</si>
  <si>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</si>
  <si>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</si>
  <si>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</si>
  <si>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</si>
  <si>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</si>
  <si>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</si>
  <si>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</si>
  <si>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</si>
  <si>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</si>
  <si>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</si>
  <si>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</si>
  <si>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</si>
  <si>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</si>
  <si>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</si>
  <si>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</si>
  <si>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</si>
  <si>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</si>
  <si>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</si>
  <si>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</si>
  <si>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</si>
  <si>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</si>
  <si>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</si>
  <si>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</si>
  <si>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</si>
  <si>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</si>
  <si>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</si>
  <si>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</si>
  <si>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</si>
  <si>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</si>
  <si>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</si>
  <si>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</si>
  <si>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</si>
  <si>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</si>
  <si>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</si>
  <si>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</si>
  <si>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</si>
  <si>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</si>
  <si>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</si>
  <si>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</si>
  <si>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</si>
  <si>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</si>
  <si>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</si>
  <si>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</si>
  <si>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</si>
  <si>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</si>
  <si>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</si>
  <si>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</si>
  <si>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</si>
  <si>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</si>
  <si>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</si>
  <si>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</si>
  <si>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</si>
  <si>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</si>
  <si>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</si>
  <si>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</si>
  <si>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</si>
  <si>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</si>
  <si>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</si>
  <si>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</si>
  <si>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</si>
  <si>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</si>
  <si>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</si>
  <si>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</si>
  <si>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</si>
  <si>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</si>
  <si>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</si>
  <si>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</si>
  <si>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</si>
  <si>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</si>
  <si>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</si>
  <si>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</si>
  <si>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</si>
  <si>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</si>
  <si>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</si>
  <si>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</si>
  <si>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</si>
  <si>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</si>
  <si>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</si>
  <si>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</si>
  <si>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</si>
  <si>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</si>
  <si>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</si>
  <si>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</si>
  <si>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</si>
  <si>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</si>
  <si>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</si>
  <si>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</si>
  <si>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</si>
  <si>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</si>
  <si>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</si>
  <si>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</si>
  <si>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</si>
  <si>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</si>
  <si>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</si>
  <si>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</si>
  <si>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</si>
  <si>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</si>
  <si>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</si>
  <si>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</si>
  <si>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</si>
  <si>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</si>
  <si>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</si>
  <si>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</si>
  <si>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</si>
  <si>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</si>
  <si>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</si>
  <si>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</si>
  <si>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</si>
  <si>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</si>
  <si>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</si>
  <si>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</si>
  <si>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</si>
  <si>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</si>
  <si>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</si>
  <si>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</si>
  <si>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</si>
  <si>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</si>
  <si>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</si>
  <si>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</si>
  <si>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</si>
  <si>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</si>
  <si>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</si>
  <si>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</si>
  <si>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</si>
  <si>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</si>
  <si>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</si>
  <si>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</si>
  <si>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</si>
  <si>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</si>
  <si>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</si>
  <si>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</si>
  <si>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</si>
  <si>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</si>
  <si>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</si>
  <si>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</si>
  <si>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</si>
  <si>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</si>
  <si>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</si>
  <si>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</si>
  <si>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</si>
  <si>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</si>
  <si>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</si>
  <si>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</si>
  <si>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</si>
  <si>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</si>
  <si>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</si>
  <si>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</si>
  <si>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</si>
  <si>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</si>
  <si>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</si>
  <si>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</si>
  <si>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</si>
  <si>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</si>
  <si>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</si>
  <si>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</si>
  <si>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</si>
  <si>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</si>
  <si>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</si>
  <si>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</si>
  <si>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</si>
  <si>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</si>
  <si>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</si>
  <si>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</si>
  <si>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</si>
  <si>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</si>
  <si>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</si>
  <si>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</si>
  <si>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</si>
  <si>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</si>
  <si>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</si>
  <si>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</si>
  <si>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</si>
  <si>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</si>
  <si>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</si>
  <si>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</si>
  <si>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</si>
  <si>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</si>
  <si>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</si>
  <si>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</si>
  <si>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</si>
  <si>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</si>
  <si>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</si>
  <si>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</si>
  <si>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</si>
  <si>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</si>
  <si>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</si>
  <si>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</si>
  <si>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</si>
  <si>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</si>
  <si>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</si>
  <si>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</si>
  <si>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</si>
  <si>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</si>
  <si>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</si>
  <si>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</si>
  <si>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</si>
  <si>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</si>
  <si>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</si>
  <si>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</si>
  <si>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</si>
  <si>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</si>
  <si>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</si>
  <si>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</si>
  <si>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</si>
  <si>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</si>
  <si>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</si>
  <si>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</si>
  <si>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</si>
  <si>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</si>
  <si>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</si>
  <si>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</si>
  <si>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</si>
  <si>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</si>
  <si>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</si>
  <si>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</si>
  <si>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</si>
  <si>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</si>
  <si>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</si>
  <si>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</si>
  <si>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</si>
  <si>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</si>
  <si>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</si>
  <si>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</si>
  <si>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</si>
  <si>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</si>
  <si>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</si>
  <si>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</si>
  <si>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</si>
  <si>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</si>
  <si>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</si>
  <si>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</si>
  <si>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</si>
  <si>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</si>
  <si>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</si>
  <si>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</si>
  <si>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</si>
  <si>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</si>
  <si>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</si>
  <si>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</si>
  <si>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</si>
  <si>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</si>
  <si>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</si>
  <si>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</si>
  <si>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</si>
  <si>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</si>
  <si>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</si>
  <si>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</si>
  <si>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</si>
  <si>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</si>
  <si>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</si>
  <si>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</si>
  <si>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</si>
  <si>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</si>
  <si>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</si>
  <si>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</si>
  <si>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</si>
  <si>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</si>
  <si>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</si>
  <si>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</si>
  <si>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</si>
  <si>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</si>
  <si>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</si>
  <si>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</si>
  <si>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</si>
  <si>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</si>
  <si>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</si>
  <si>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</si>
  <si>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</si>
  <si>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</si>
  <si>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</si>
  <si>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</si>
  <si>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</si>
  <si>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</si>
  <si>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</si>
  <si>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</si>
  <si>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</si>
  <si>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</si>
  <si>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</si>
  <si>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</si>
  <si>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</si>
  <si>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</si>
  <si>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</si>
  <si>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</si>
  <si>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</si>
  <si>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</si>
  <si>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</si>
  <si>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</si>
  <si>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</si>
  <si>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</si>
  <si>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</si>
  <si>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</si>
  <si>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</si>
  <si>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</si>
  <si>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</si>
  <si>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</si>
  <si>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</si>
  <si>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</si>
  <si>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</si>
  <si>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</si>
  <si>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</si>
  <si>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</si>
  <si>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</si>
  <si>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</si>
  <si>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</si>
  <si>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</si>
  <si>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</si>
  <si>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</si>
  <si>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</si>
  <si>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</si>
  <si>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</si>
  <si>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</si>
  <si>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</si>
  <si>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</si>
  <si>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</si>
  <si>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</si>
  <si>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</si>
  <si>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</si>
  <si>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</si>
  <si>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</si>
  <si>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</si>
  <si>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</si>
  <si>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</si>
  <si>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</si>
  <si>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</si>
  <si>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</si>
  <si>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</si>
  <si>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</si>
  <si>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</si>
  <si>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</si>
  <si>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</si>
  <si>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</si>
  <si>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</si>
  <si>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</si>
  <si>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</si>
  <si>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</si>
  <si>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</si>
  <si>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</si>
  <si>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</si>
  <si>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</si>
  <si>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</si>
  <si>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</si>
  <si>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</si>
  <si>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</si>
  <si>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</si>
  <si>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</si>
  <si>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</si>
  <si>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</si>
  <si>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</si>
  <si>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</si>
  <si>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</si>
  <si>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</si>
  <si>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</si>
  <si>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</si>
  <si>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</si>
  <si>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</si>
  <si>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</si>
  <si>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</si>
  <si>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</si>
  <si>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</si>
  <si>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</si>
  <si>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</si>
  <si>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</si>
  <si>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</si>
  <si>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</si>
  <si>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</si>
  <si>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</si>
  <si>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</si>
  <si>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</si>
  <si>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</si>
  <si>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</si>
  <si>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</si>
  <si>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</si>
  <si>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</si>
  <si>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</si>
  <si>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</si>
  <si>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</si>
  <si>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</si>
  <si>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</si>
  <si>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</si>
  <si>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</si>
  <si>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</si>
  <si>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</si>
  <si>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</si>
  <si>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</si>
  <si>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</si>
  <si>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</si>
  <si>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</si>
  <si>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</si>
  <si>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</si>
  <si>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</si>
  <si>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</si>
  <si>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</si>
  <si>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</si>
  <si>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</si>
  <si>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</si>
  <si>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</si>
  <si>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</si>
  <si>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</si>
  <si>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</si>
  <si>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</si>
  <si>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</si>
  <si>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</si>
  <si>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</si>
  <si>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</si>
  <si>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</si>
  <si>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</si>
  <si>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</si>
  <si>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</si>
  <si>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</si>
  <si>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</si>
  <si>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</si>
  <si>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</si>
  <si>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</si>
  <si>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</si>
  <si>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</si>
  <si>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</si>
  <si>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</si>
  <si>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</si>
  <si>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</si>
  <si>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</si>
  <si>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</si>
  <si>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</si>
  <si>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</si>
  <si>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</si>
  <si>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</si>
  <si>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</si>
  <si>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</si>
  <si>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</si>
  <si>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</si>
  <si>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</si>
  <si>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</si>
  <si>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</si>
  <si>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</si>
  <si>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</si>
  <si>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</si>
  <si>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</si>
  <si>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</si>
  <si>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</si>
  <si>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</si>
  <si>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</si>
  <si>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</si>
  <si>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</si>
  <si>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</si>
  <si>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</si>
  <si>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</si>
  <si>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</si>
  <si>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</si>
  <si>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</si>
  <si>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</si>
  <si>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</si>
  <si>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</si>
  <si>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</si>
  <si>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</si>
  <si>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</si>
  <si>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</si>
  <si>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</si>
  <si>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</si>
  <si>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</si>
  <si>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</si>
  <si>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</si>
  <si>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</si>
  <si>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</si>
  <si>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</si>
  <si>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</si>
  <si>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</si>
  <si>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</si>
  <si>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</si>
  <si>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</si>
  <si>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</si>
  <si>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</si>
  <si>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</si>
  <si>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</si>
  <si>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</si>
  <si>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</si>
  <si>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</si>
  <si>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</si>
  <si>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</si>
  <si>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</si>
  <si>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</si>
  <si>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</si>
  <si>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</si>
  <si>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</si>
  <si>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</si>
  <si>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</si>
  <si>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</si>
  <si>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</si>
  <si>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</si>
  <si>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</si>
  <si>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</si>
  <si>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</si>
  <si>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</si>
  <si>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</si>
  <si>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</si>
  <si>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</si>
  <si>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</si>
  <si>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Quantity</t>
  </si>
  <si>
    <t>Sum of gross income</t>
  </si>
  <si>
    <t>Average of Rating</t>
  </si>
  <si>
    <t>Sales Report</t>
  </si>
  <si>
    <t>Sum of Tax 5%</t>
  </si>
  <si>
    <t>Sum of Unit price</t>
  </si>
  <si>
    <t xml:space="preserve">Branches </t>
  </si>
  <si>
    <t>Total Sales</t>
  </si>
  <si>
    <t xml:space="preserve">Total </t>
  </si>
  <si>
    <t>Quantity_</t>
  </si>
  <si>
    <t>Gross Income_</t>
  </si>
  <si>
    <t>Quantity Sold_</t>
  </si>
  <si>
    <t xml:space="preserve"> </t>
  </si>
  <si>
    <t>Branch Analysis</t>
  </si>
  <si>
    <t>Product Analysis</t>
  </si>
  <si>
    <t>Deeper Analysis</t>
  </si>
  <si>
    <t>Jan</t>
  </si>
  <si>
    <t>Feb</t>
  </si>
  <si>
    <t>Mar</t>
  </si>
  <si>
    <t>Total_</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</si>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</sst>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0.0"/>
  </numFmts>
  <fonts count="18" x14ac:knownFonts="1">
    <font>
      <sz val="11"/>
      <color theme="1"/>
      <name val="Calibri"/>
      <family val="2"/>
      <scheme val="minor"/>
    </font>
    <font>
      <b/>
      <sz val="11"/>
      <color theme="1"/>
      <name val="Calibri"/>
      <family val="2"/>
      <scheme val="minor"/>
    </font>
    <font>
      <b/>
      <sz val="48"/>
      <color theme="1"/>
      <name val="Aptos"/>
      <family val="2"/>
    </font>
    <font>
      <u/>
      <sz val="11"/>
      <color theme="10"/>
      <name val="Calibri"/>
      <family val="2"/>
      <scheme val="minor"/>
    </font>
    <font>
      <u/>
      <sz val="48"/>
      <color theme="10"/>
      <name val="Calibri"/>
      <family val="2"/>
      <scheme val="minor"/>
    </font>
    <font>
      <b/>
      <u/>
      <sz val="48"/>
      <color theme="1"/>
      <name val="Aptos"/>
      <family val="2"/>
    </font>
    <font>
      <sz val="11"/>
      <color rgb="FFC7E2EC"/>
      <name val="Calibri"/>
      <family val="2"/>
      <scheme val="minor"/>
    </font>
    <font>
      <b/>
      <sz val="14"/>
      <color rgb="FFC7E2EC"/>
      <name val="Aptos"/>
      <family val="2"/>
    </font>
    <font>
      <sz val="11"/>
      <color rgb="FFC7E2EC"/>
      <name val="Aptos"/>
      <family val="2"/>
    </font>
    <font>
      <b/>
      <sz val="11"/>
      <color rgb="FFC7E2EC"/>
      <name val="Aptos"/>
      <family val="2"/>
    </font>
    <font>
      <sz val="11"/>
      <color rgb="FF274758"/>
      <name val="Aptos"/>
      <family val="2"/>
    </font>
    <font>
      <sz val="11"/>
      <color rgb="FF274758"/>
      <name val="Calibri"/>
      <family val="2"/>
      <scheme val="minor"/>
    </font>
    <font>
      <b/>
      <u/>
      <sz val="36"/>
      <color theme="1"/>
      <name val="Calibri"/>
      <family val="2"/>
      <scheme val="minor"/>
    </font>
    <font>
      <u/>
      <sz val="11"/>
      <color theme="1"/>
      <name val="Calibri"/>
      <family val="2"/>
      <scheme val="minor"/>
    </font>
    <font>
      <b/>
      <u/>
      <sz val="36"/>
      <color theme="1"/>
      <name val="Aptos"/>
      <family val="2"/>
    </font>
    <font>
      <u/>
      <sz val="36"/>
      <color theme="1"/>
      <name val="Calibri"/>
      <family val="2"/>
      <scheme val="minor"/>
    </font>
    <font>
      <b/>
      <sz val="12"/>
      <color theme="1"/>
      <name val="Aptos"/>
      <family val="2"/>
    </font>
    <font>
      <sz val="12"/>
      <color theme="1"/>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
      <patternFill patternType="solid">
        <fgColor rgb="FF274758"/>
        <bgColor indexed="64"/>
      </patternFill>
    </fill>
    <fill>
      <patternFill patternType="solid">
        <fgColor rgb="FFC7E2EC"/>
        <bgColor indexed="64"/>
      </patternFill>
    </fill>
    <fill>
      <patternFill patternType="solid">
        <fgColor rgb="FFFFFFFF"/>
        <bgColor indexed="64"/>
      </patternFill>
    </fill>
    <fill>
      <patternFill patternType="solid">
        <fgColor rgb="FF17375B"/>
        <bgColor indexed="64"/>
      </patternFill>
    </fill>
  </fills>
  <borders count="2">
    <border>
      <left/>
      <right/>
      <top/>
      <bottom/>
      <diagonal/>
    </border>
    <border>
      <left/>
      <right/>
      <top style="thin">
        <color theme="4" tint="0.39997558519241921"/>
      </top>
      <bottom/>
      <diagonal/>
    </border>
  </borders>
  <cellStyleXfs count="2">
    <xf numFmtId="0" fontId="0" fillId="0" borderId="0"/>
    <xf numFmtId="0" fontId="3" fillId="0" borderId="0" applyNumberFormat="0" applyFill="0" applyBorder="0" applyAlignment="0" applyProtection="0"/>
  </cellStyleXfs>
  <cellXfs count="40">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5" borderId="0" xfId="0" applyFill="1"/>
    <xf numFmtId="0" fontId="2" fillId="5" borderId="0" xfId="0" applyFont="1" applyFill="1" applyAlignment="1">
      <alignment vertical="center"/>
    </xf>
    <xf numFmtId="0" fontId="4" fillId="5" borderId="0" xfId="1" applyFont="1" applyFill="1" applyAlignment="1">
      <alignment vertical="center"/>
    </xf>
    <xf numFmtId="0" fontId="0" fillId="6" borderId="0" xfId="0" applyFill="1"/>
    <xf numFmtId="0" fontId="0" fillId="0" borderId="0" xfId="0" applyAlignment="1">
      <alignment horizontal="left" indent="1"/>
    </xf>
    <xf numFmtId="0" fontId="6" fillId="4" borderId="0" xfId="0" applyFont="1" applyFill="1"/>
    <xf numFmtId="43" fontId="7" fillId="4" borderId="0" xfId="0" applyNumberFormat="1" applyFont="1" applyFill="1"/>
    <xf numFmtId="0" fontId="7" fillId="4" borderId="0" xfId="0" applyFont="1" applyFill="1"/>
    <xf numFmtId="0" fontId="11" fillId="5" borderId="0" xfId="0" applyFont="1" applyFill="1"/>
    <xf numFmtId="0" fontId="0" fillId="0" borderId="0" xfId="0" applyAlignment="1">
      <alignment horizontal="center" vertical="center"/>
    </xf>
    <xf numFmtId="0" fontId="10" fillId="5" borderId="0" xfId="0" applyFont="1" applyFill="1" applyAlignment="1">
      <alignment horizontal="center" vertical="center"/>
    </xf>
    <xf numFmtId="0" fontId="11" fillId="0" borderId="0" xfId="0" applyFont="1" applyAlignment="1">
      <alignment horizontal="center" vertical="center"/>
    </xf>
    <xf numFmtId="0" fontId="8" fillId="4" borderId="0" xfId="0" applyFont="1" applyFill="1" applyAlignment="1">
      <alignment horizontal="center" vertical="center"/>
    </xf>
    <xf numFmtId="0" fontId="6" fillId="4" borderId="0" xfId="0" applyFont="1" applyFill="1" applyAlignment="1">
      <alignment horizontal="center"/>
    </xf>
    <xf numFmtId="43" fontId="9" fillId="4" borderId="0" xfId="0" applyNumberFormat="1" applyFont="1" applyFill="1" applyAlignment="1">
      <alignment horizontal="center" vertical="center"/>
    </xf>
    <xf numFmtId="0" fontId="9" fillId="4" borderId="0" xfId="0" applyFont="1" applyFill="1" applyAlignment="1">
      <alignment horizontal="center" vertical="center"/>
    </xf>
    <xf numFmtId="0" fontId="15" fillId="0" borderId="0" xfId="0" applyFont="1" applyAlignment="1">
      <alignment vertical="center"/>
    </xf>
    <xf numFmtId="2" fontId="0" fillId="0" borderId="0" xfId="0" applyNumberFormat="1"/>
    <xf numFmtId="164" fontId="0" fillId="0" borderId="0" xfId="0" applyNumberFormat="1"/>
    <xf numFmtId="164" fontId="1" fillId="2" borderId="1" xfId="0" applyNumberFormat="1" applyFont="1" applyFill="1" applyBorder="1"/>
    <xf numFmtId="0" fontId="15" fillId="3" borderId="0" xfId="0" applyFont="1" applyFill="1" applyAlignment="1">
      <alignment vertical="center"/>
    </xf>
    <xf numFmtId="0" fontId="0" fillId="0" borderId="0" xfId="0" applyAlignment="1">
      <alignment horizontal="center"/>
    </xf>
    <xf numFmtId="0" fontId="11" fillId="5" borderId="0" xfId="0" applyFont="1" applyFill="1" applyAlignment="1">
      <alignment horizontal="center"/>
    </xf>
    <xf numFmtId="0" fontId="11" fillId="0" borderId="0" xfId="0" applyFont="1" applyAlignment="1">
      <alignment horizontal="center"/>
    </xf>
    <xf numFmtId="0" fontId="6" fillId="7" borderId="0" xfId="0" applyFont="1" applyFill="1"/>
    <xf numFmtId="0" fontId="16" fillId="5" borderId="0" xfId="0" applyFont="1" applyFill="1" applyAlignment="1">
      <alignment vertical="center"/>
    </xf>
    <xf numFmtId="0" fontId="17" fillId="5" borderId="0" xfId="0" applyFont="1" applyFill="1"/>
    <xf numFmtId="0" fontId="12" fillId="0" borderId="0" xfId="0" applyFont="1" applyAlignment="1">
      <alignment horizontal="center" vertical="center"/>
    </xf>
    <xf numFmtId="0" fontId="5" fillId="3" borderId="0" xfId="0" applyFont="1" applyFill="1" applyAlignment="1">
      <alignment horizontal="center" vertical="center"/>
    </xf>
    <xf numFmtId="0" fontId="12" fillId="0" borderId="0" xfId="0" applyFont="1" applyAlignment="1">
      <alignment horizontal="center"/>
    </xf>
    <xf numFmtId="0" fontId="13" fillId="0" borderId="0" xfId="0" applyFont="1" applyAlignment="1">
      <alignment horizontal="center"/>
    </xf>
    <xf numFmtId="0" fontId="14" fillId="3" borderId="0" xfId="0" applyFont="1" applyFill="1" applyAlignment="1">
      <alignment horizontal="center" vertical="center"/>
    </xf>
    <xf numFmtId="0" fontId="0" fillId="0" borderId="0" xfId="0" applyNumberFormat="1"/>
  </cellXfs>
  <cellStyles count="2">
    <cellStyle name="Hyperlink" xfId="1" builtinId="8"/>
    <cellStyle name="Normal" xfId="0" builtinId="0"/>
  </cellStyles>
  <dxfs count="115">
    <dxf>
      <fill>
        <patternFill patternType="solid">
          <bgColor rgb="FF17375B"/>
        </patternFill>
      </fill>
    </dxf>
    <dxf>
      <fill>
        <patternFill patternType="solid">
          <bgColor rgb="FF17375B"/>
        </patternFill>
      </fill>
    </dxf>
    <dxf>
      <font>
        <color rgb="FFC7E2EC"/>
      </font>
    </dxf>
    <dxf>
      <font>
        <color rgb="FFC7E2EC"/>
      </font>
    </dxf>
    <dxf>
      <fill>
        <patternFill>
          <bgColor rgb="FF274758"/>
        </patternFill>
      </fill>
    </dxf>
    <dxf>
      <fill>
        <patternFill>
          <bgColor rgb="FF274758"/>
        </patternFill>
      </fill>
    </dxf>
    <dxf>
      <fill>
        <patternFill patternType="solid">
          <bgColor rgb="FF17375B"/>
        </patternFill>
      </fill>
    </dxf>
    <dxf>
      <fill>
        <patternFill patternType="solid">
          <bgColor rgb="FF17375B"/>
        </patternFill>
      </fill>
    </dxf>
    <dxf>
      <font>
        <color rgb="FFC7E2EC"/>
      </font>
    </dxf>
    <dxf>
      <font>
        <color rgb="FFC7E2EC"/>
      </font>
    </dxf>
    <dxf>
      <fill>
        <patternFill>
          <bgColor rgb="FF274758"/>
        </patternFill>
      </fill>
    </dxf>
    <dxf>
      <fill>
        <patternFill>
          <bgColor rgb="FF274758"/>
        </patternFill>
      </fill>
    </dxf>
    <dxf>
      <fill>
        <patternFill patternType="solid">
          <bgColor rgb="FF17375B"/>
        </patternFill>
      </fill>
    </dxf>
    <dxf>
      <fill>
        <patternFill patternType="solid">
          <bgColor rgb="FF17375B"/>
        </patternFill>
      </fill>
    </dxf>
    <dxf>
      <font>
        <color rgb="FFC7E2EC"/>
      </font>
    </dxf>
    <dxf>
      <font>
        <color rgb="FFC7E2EC"/>
      </font>
    </dxf>
    <dxf>
      <fill>
        <patternFill>
          <bgColor rgb="FF274758"/>
        </patternFill>
      </fill>
    </dxf>
    <dxf>
      <fill>
        <patternFill>
          <bgColor rgb="FF274758"/>
        </patternFill>
      </fill>
    </dxf>
    <dxf>
      <alignment horizontal="center"/>
    </dxf>
    <dxf>
      <alignment horizontal="center"/>
    </dxf>
    <dxf>
      <alignment vertical="center"/>
    </dxf>
    <dxf>
      <alignment vertical="center"/>
    </dxf>
    <dxf>
      <alignment horizontal="center"/>
    </dxf>
    <dxf>
      <alignment horizontal="center"/>
    </dxf>
    <dxf>
      <alignment horizontal="center"/>
    </dxf>
    <dxf>
      <fill>
        <patternFill patternType="solid">
          <bgColor rgb="FFC7E2EC"/>
        </patternFill>
      </fill>
    </dxf>
    <dxf>
      <fill>
        <patternFill patternType="solid">
          <bgColor rgb="FFC7E2EC"/>
        </patternFill>
      </fill>
    </dxf>
    <dxf>
      <font>
        <color rgb="FF274758"/>
      </font>
    </dxf>
    <dxf>
      <font>
        <color rgb="FF274758"/>
      </font>
    </dxf>
    <dxf>
      <font>
        <b val="0"/>
      </font>
    </dxf>
    <dxf>
      <font>
        <name val="Aptos"/>
        <scheme val="none"/>
      </font>
    </dxf>
    <dxf>
      <font>
        <name val="Aptos"/>
        <scheme val="none"/>
      </font>
    </dxf>
    <dxf>
      <font>
        <name val="Aptos"/>
        <scheme val="none"/>
      </font>
    </dxf>
    <dxf>
      <font>
        <b/>
      </font>
    </dxf>
    <dxf>
      <font>
        <b/>
      </font>
    </dxf>
    <dxf>
      <font>
        <sz val="14"/>
      </font>
    </dxf>
    <dxf>
      <font>
        <color rgb="FFC7E2EC"/>
      </font>
    </dxf>
    <dxf>
      <fill>
        <patternFill patternType="solid">
          <bgColor rgb="FF274758"/>
        </patternFill>
      </fill>
    </dxf>
    <dxf>
      <numFmt numFmtId="35" formatCode="_(* #,##0.00_);_(* \(#,##0.00\);_(* &quot;-&quot;??_);_(@_)"/>
    </dxf>
    <dxf>
      <font>
        <sz val="14"/>
      </font>
    </dxf>
    <dxf>
      <font>
        <color rgb="FFC7E2EC"/>
      </font>
    </dxf>
    <dxf>
      <fill>
        <patternFill patternType="solid">
          <bgColor rgb="FF274758"/>
        </patternFill>
      </fill>
    </dxf>
    <dxf>
      <font>
        <color rgb="FFC7E2EC"/>
      </font>
    </dxf>
    <dxf>
      <fill>
        <patternFill patternType="solid">
          <bgColor rgb="FF274758"/>
        </patternFill>
      </fill>
    </dxf>
    <dxf>
      <font>
        <color rgb="FFC7E2EC"/>
      </font>
    </dxf>
    <dxf>
      <font>
        <color rgb="FFC7E2EC"/>
      </font>
    </dxf>
    <dxf>
      <fill>
        <patternFill>
          <bgColor rgb="FF274758"/>
        </patternFill>
      </fill>
    </dxf>
    <dxf>
      <fill>
        <patternFill>
          <bgColor rgb="FF274758"/>
        </patternFill>
      </fill>
    </dxf>
    <dxf>
      <fill>
        <patternFill patternType="solid">
          <bgColor rgb="FFC7E2EC"/>
        </patternFill>
      </fill>
    </dxf>
    <dxf>
      <fill>
        <patternFill patternType="solid">
          <bgColor rgb="FFC7E2EC"/>
        </patternFill>
      </fill>
    </dxf>
    <dxf>
      <numFmt numFmtId="164" formatCode="0.0"/>
    </dxf>
    <dxf>
      <numFmt numFmtId="164" formatCode="0.0"/>
    </dxf>
    <dxf>
      <numFmt numFmtId="164" formatCode="0.0"/>
    </dxf>
    <dxf>
      <font>
        <color rgb="FFC7E2EC"/>
      </font>
    </dxf>
    <dxf>
      <font>
        <color rgb="FFC7E2EC"/>
      </font>
    </dxf>
    <dxf>
      <fill>
        <patternFill patternType="solid">
          <bgColor rgb="FF17375B"/>
        </patternFill>
      </fill>
    </dxf>
    <dxf>
      <fill>
        <patternFill patternType="solid">
          <bgColor rgb="FF17375B"/>
        </patternFill>
      </fill>
    </dxf>
    <dxf>
      <alignment horizontal="center"/>
    </dxf>
    <dxf>
      <alignment horizontal="center"/>
    </dxf>
    <dxf>
      <alignment horizontal="center"/>
    </dxf>
    <dxf>
      <alignment horizontal="center"/>
    </dxf>
    <dxf>
      <alignment horizontal="center"/>
    </dxf>
    <dxf>
      <alignment vertical="center"/>
    </dxf>
    <dxf>
      <font>
        <color rgb="FFC7E2EC"/>
      </font>
    </dxf>
    <dxf>
      <fill>
        <patternFill patternType="solid">
          <bgColor rgb="FF274758"/>
        </patternFill>
      </fill>
    </dxf>
    <dxf>
      <font>
        <color rgb="FFC7E2EC"/>
      </font>
    </dxf>
    <dxf>
      <font>
        <color rgb="FFC7E2EC"/>
      </font>
    </dxf>
    <dxf>
      <fill>
        <patternFill>
          <bgColor rgb="FF274758"/>
        </patternFill>
      </fill>
    </dxf>
    <dxf>
      <fill>
        <patternFill>
          <bgColor rgb="FF274758"/>
        </patternFill>
      </fill>
    </dxf>
    <dxf>
      <fill>
        <patternFill patternType="solid">
          <bgColor rgb="FFC7E2EC"/>
        </patternFill>
      </fill>
    </dxf>
    <dxf>
      <fill>
        <patternFill patternType="solid">
          <bgColor rgb="FFC7E2EC"/>
        </patternFill>
      </fill>
    </dxf>
    <dxf>
      <font>
        <color rgb="FFC7E2EC"/>
      </font>
    </dxf>
    <dxf>
      <font>
        <color rgb="FFC7E2EC"/>
      </font>
    </dxf>
    <dxf>
      <alignment horizontal="center"/>
    </dxf>
    <dxf>
      <alignment horizontal="center"/>
    </dxf>
    <dxf>
      <alignment vertical="center"/>
    </dxf>
    <dxf>
      <alignment vertical="center"/>
    </dxf>
    <dxf>
      <font>
        <b/>
      </font>
    </dxf>
    <dxf>
      <font>
        <b/>
      </font>
    </dxf>
    <dxf>
      <font>
        <sz val="11"/>
      </font>
    </dxf>
    <dxf>
      <font>
        <sz val="11"/>
      </font>
    </dxf>
    <dxf>
      <fill>
        <patternFill>
          <bgColor rgb="FF274758"/>
        </patternFill>
      </fill>
    </dxf>
    <dxf>
      <fill>
        <patternFill>
          <bgColor rgb="FF274758"/>
        </patternFill>
      </fill>
    </dxf>
    <dxf>
      <font>
        <color rgb="FFC7E2EC"/>
      </font>
    </dxf>
    <dxf>
      <font>
        <color rgb="FFC7E2EC"/>
      </font>
    </dxf>
    <dxf>
      <font>
        <color rgb="FF274758"/>
      </font>
    </dxf>
    <dxf>
      <font>
        <color rgb="FF274758"/>
      </font>
    </dxf>
    <dxf>
      <alignment horizontal="center"/>
    </dxf>
    <dxf>
      <alignment horizontal="center"/>
    </dxf>
    <dxf>
      <alignment vertical="center"/>
    </dxf>
    <dxf>
      <alignment vertical="center"/>
    </dxf>
    <dxf>
      <alignment horizontal="center"/>
    </dxf>
    <dxf>
      <alignment horizontal="center"/>
    </dxf>
    <dxf>
      <alignment horizontal="center"/>
    </dxf>
    <dxf>
      <fill>
        <patternFill patternType="solid">
          <bgColor rgb="FFC7E2EC"/>
        </patternFill>
      </fill>
    </dxf>
    <dxf>
      <fill>
        <patternFill patternType="solid">
          <bgColor rgb="FFC7E2EC"/>
        </patternFill>
      </fill>
    </dxf>
    <dxf>
      <font>
        <color rgb="FF274758"/>
      </font>
    </dxf>
    <dxf>
      <font>
        <color rgb="FF274758"/>
      </font>
    </dxf>
    <dxf>
      <font>
        <b val="0"/>
      </font>
    </dxf>
    <dxf>
      <font>
        <name val="Aptos"/>
        <scheme val="none"/>
      </font>
    </dxf>
    <dxf>
      <font>
        <name val="Aptos"/>
        <scheme val="none"/>
      </font>
    </dxf>
    <dxf>
      <font>
        <name val="Aptos"/>
        <scheme val="none"/>
      </font>
    </dxf>
    <dxf>
      <fill>
        <patternFill patternType="solid">
          <bgColor rgb="FF274758"/>
        </patternFill>
      </fill>
    </dxf>
    <dxf>
      <numFmt numFmtId="35" formatCode="_(* #,##0.00_);_(* \(#,##0.00\);_(* &quot;-&quot;??_);_(@_)"/>
    </dxf>
    <dxf>
      <fill>
        <patternFill patternType="solid">
          <bgColor rgb="FF274758"/>
        </patternFill>
      </fill>
    </dxf>
    <dxf>
      <fill>
        <patternFill>
          <bgColor rgb="FF274758"/>
        </patternFill>
      </fill>
    </dxf>
    <dxf>
      <fill>
        <patternFill>
          <bgColor rgb="FF274758"/>
        </patternFill>
      </fill>
    </dxf>
    <dxf>
      <font>
        <color rgb="FFC7E2EC"/>
      </font>
    </dxf>
    <dxf>
      <font>
        <color rgb="FFC7E2EC"/>
      </font>
    </dxf>
    <dxf>
      <fill>
        <patternFill patternType="solid">
          <bgColor rgb="FF17375B"/>
        </patternFill>
      </fill>
    </dxf>
    <dxf>
      <fill>
        <patternFill patternType="solid">
          <bgColor rgb="FF17375B"/>
        </patternFill>
      </fil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rgb="FFC7E2EC"/>
      </font>
      <fill>
        <patternFill>
          <fgColor rgb="FF274758"/>
        </patternFill>
      </fill>
      <border diagonalUp="0" diagonalDown="0">
        <left/>
        <right/>
        <top/>
        <bottom/>
        <vertical/>
        <horizontal/>
      </border>
    </dxf>
    <dxf>
      <font>
        <b/>
        <i val="0"/>
        <color rgb="FFC7E2EC"/>
      </font>
      <fill>
        <patternFill>
          <fgColor rgb="FF274758"/>
        </patternFill>
      </fill>
    </dxf>
  </dxfs>
  <tableStyles count="6" defaultTableStyle="TableStyleMedium2" defaultPivotStyle="PivotStyleLight16">
    <tableStyle name="PivotTable Style 1" table="0" count="1" xr9:uid="{AEC50C0E-2265-430B-B4EE-F836918249F1}">
      <tableStyleElement type="pageFieldLabels" dxfId="114"/>
    </tableStyle>
    <tableStyle name="Slicer Style 1" pivot="0" table="0" count="3" xr9:uid="{E591F9F0-B536-49F1-B2A1-E3DF6A2AE7DE}"/>
    <tableStyle name="Slicer Style 2" pivot="0" table="0" count="3" xr9:uid="{F026AB65-F784-44A7-8F3C-FF5C9BBC07B6}"/>
    <tableStyle name="Slicer Style 3" pivot="0" table="0" count="3" xr9:uid="{40547540-D23D-495D-A676-E2E269E0313D}"/>
    <tableStyle name="Table Style 1" pivot="0" count="1" xr9:uid="{AE6B93F6-03F1-49C2-A12F-433CAD937207}">
      <tableStyleElement type="firstRowStripe" dxfId="113"/>
    </tableStyle>
    <tableStyle name="Timeline Style 1" pivot="0" table="0" count="8" xr9:uid="{90E28761-2E60-4A17-9A39-A29D7756A5FE}">
      <tableStyleElement type="wholeTable" dxfId="112"/>
      <tableStyleElement type="headerRow" dxfId="111"/>
    </tableStyle>
  </tableStyles>
  <colors>
    <mruColors>
      <color rgb="FFC7E2EC"/>
      <color rgb="FF034149"/>
      <color rgb="FF274758"/>
      <color rgb="FF17375B"/>
      <color rgb="FFFFFFFF"/>
      <color rgb="FFADB6C1"/>
      <color rgb="FF02001E"/>
      <color rgb="FF040032"/>
      <color rgb="FF05004C"/>
      <color rgb="FF110068"/>
    </mruColors>
  </colors>
  <extLst>
    <ext xmlns:x14="http://schemas.microsoft.com/office/spreadsheetml/2009/9/main" uri="{46F421CA-312F-682f-3DD2-61675219B42D}">
      <x14:dxfs count="9">
        <dxf>
          <fill>
            <gradientFill degree="90">
              <stop position="0">
                <color theme="0"/>
              </stop>
              <stop position="1">
                <color rgb="FF274758"/>
              </stop>
            </gradientFill>
          </fill>
        </dxf>
        <dxf>
          <font>
            <color theme="0"/>
            <name val="Calibri"/>
            <family val="2"/>
            <scheme val="minor"/>
          </font>
          <fill>
            <gradientFill degree="90">
              <stop position="0">
                <color rgb="FF274758"/>
              </stop>
              <stop position="1">
                <color rgb="FF274758"/>
              </stop>
            </gradientFill>
          </fill>
        </dxf>
        <dxf>
          <font>
            <color rgb="FF274758"/>
            <name val="Calibri"/>
            <family val="2"/>
            <scheme val="minor"/>
          </font>
          <fill>
            <gradientFill degree="90">
              <stop position="0">
                <color rgb="FFC7E2EC"/>
              </stop>
              <stop position="1">
                <color rgb="FFC7E2EC"/>
              </stop>
            </gradientFill>
          </fill>
        </dxf>
        <dxf>
          <fill>
            <gradientFill degree="90">
              <stop position="0">
                <color rgb="FF274758"/>
              </stop>
              <stop position="1">
                <color theme="0"/>
              </stop>
            </gradientFill>
          </fill>
        </dxf>
        <dxf>
          <fill>
            <gradientFill type="path" left="0.5" right="0.5" top="0.5" bottom="0.5">
              <stop position="0">
                <color rgb="FF274758"/>
              </stop>
              <stop position="1">
                <color rgb="FF274758"/>
              </stop>
            </gradientFill>
          </fill>
        </dxf>
        <dxf>
          <fill>
            <gradientFill degree="90">
              <stop position="0">
                <color rgb="FFC7E2EC"/>
              </stop>
              <stop position="1">
                <color rgb="FFC7E2EC"/>
              </stop>
            </gradientFill>
          </fill>
        </dxf>
        <dxf>
          <fill>
            <patternFill>
              <fgColor rgb="FF274758"/>
            </patternFill>
          </fill>
        </dxf>
        <dxf>
          <fill>
            <patternFill>
              <fgColor rgb="FF274758"/>
            </patternFill>
          </fill>
        </dxf>
        <dxf>
          <fill>
            <patternFill>
              <fgColor rgb="FFC7E2EC"/>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 type="selectedItemWithData" dxfId="7"/>
            <x14:slicerStyleElement type="hoveredSelectedItemWithData" dxfId="6"/>
          </x14:slicerStyleElements>
        </x14:slicerStyle>
        <x14:slicerStyle name="Slicer Style 2">
          <x14:slicerStyleElements>
            <x14:slicerStyleElement type="unselectedItemWithData" dxfId="5"/>
            <x14:slicerStyleElement type="selectedItemWithData" dxfId="4"/>
            <x14:slicerStyleElement type="hoveredSelectedItemWithData" dxfId="3"/>
          </x14:slicerStyleElements>
        </x14:slicerStyle>
        <x14:slicerStyle name="Slicer Style 3">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034149"/>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microsoft.com/office/2007/relationships/slicerCache" Target="slicerCaches/slicerCache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microsoft.com/office/2007/relationships/slicerCache" Target="slicerCaches/slicerCache5.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07/relationships/slicerCache" Target="slicerCaches/slicerCache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1.xml"/><Relationship Id="rId38" Type="http://schemas.microsoft.com/office/2011/relationships/timelineCache" Target="timelineCaches/timelineCach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7.xml"/><Relationship Id="rId1" Type="http://schemas.microsoft.com/office/2011/relationships/chartStyle" Target="style17.xml"/></Relationships>
</file>

<file path=xl/charts/_rels/chart2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[Dashboard.xlsx]Dashboard_Product_Sales!PivotTable1</c:name>
    <c:fmtId val="4"/>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Aptos" panose="020B0004020202020204" pitchFamily="34" charset="0"/>
                <a:ea typeface="+mn-ea"/>
                <a:cs typeface="+mn-cs"/>
              </a:defRPr>
            </a:pPr>
            <a:r>
              <a:rPr lang="en-US" b="1">
                <a:latin typeface="Aptos" panose="020B0004020202020204" pitchFamily="34" charset="0"/>
              </a:rPr>
              <a:t>Sales of Each Products</a:t>
            </a:r>
          </a:p>
        </c:rich>
      </c:tx>
      <c:overlay val="0"/>
      <c:spPr>
        <a:noFill/>
        <a:ln>
          <a:noFill/>
        </a:ln>
        <a:effectLst/>
      </c:spPr>
    </c:title>
    <c:autoTitleDeleted val="0"/>
    <c:pivotFmts>
      <c:pivotFmt>
        <c:idx val="0"/>
        <c:spPr>
          <a:solidFill>
            <a:srgbClr val="274758"/>
          </a:solidFill>
          <a:ln>
            <a:noFill/>
          </a:ln>
          <a:effectLst/>
        </c:spPr>
        <c:marker>
          <c:symbol val="none"/>
        </c:marker>
      </c:pivotFmt>
      <c:pivotFmt>
        <c:idx val="1"/>
        <c:spPr>
          <a:solidFill>
            <a:srgbClr val="274758"/>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274758"/>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274758"/>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Dashboard_Product_Sales!$B$3</c:f>
              <c:strCache>
                <c:ptCount val="1"/>
                <c:pt idx="0">
                  <c:v>Total</c:v>
                </c:pt>
              </c:strCache>
            </c:strRef>
          </c:tx>
          <c:spPr>
            <a:solidFill>
              <a:srgbClr val="274758"/>
            </a:solidFill>
            <a:ln>
              <a:noFill/>
            </a:ln>
            <a:effectLst/>
          </c:spPr>
          <c:invertIfNegative val="0"/>
          <c:cat>
            <c:strRef>
              <c:f>Dashboard_Product_Sales!$A$4:$A$10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Dashboard_Product_Sales!$B$4:$B$10</c:f>
              <c:numCache>
                <c:formatCode>General</c:formatCode>
                <c:ptCount val="6"/>
                <c:pt idx="0">
                  <c:v>2707.1205</c:v>
                </c:pt>
                <c:pt idx="1">
                  <c:v>755.91600000000005</c:v>
                </c:pt>
                <c:pt idx="2">
                  <c:v>1041.5055</c:v>
                </c:pt>
                <c:pt idx="3">
                  <c:v>565.21500000000003</c:v>
                </c:pt>
                <c:pt idx="4">
                  <c:v>1218.8085000000001</c:v>
                </c:pt>
                <c:pt idx="5">
                  <c:v>1598.877</c:v>
                </c:pt>
              </c:numCache>
            </c:numRef>
          </c:val>
          <c:extLst>
            <c:ext xmlns:c16="http://schemas.microsoft.com/office/drawing/2014/chart" uri="{C3380CC4-5D6E-409C-BE32-E72D297353CC}">
              <c16:uniqueId val="{00000002-E87E-4D02-B0AA-37E1D20F8458}"/>
            </c:ext>
          </c:extLst>
        </c:ser>
        <c:dLbls>
          <c:showLegendKey val="0"/>
          <c:showVal val="0"/>
          <c:showCatName val="0"/>
          <c:showSerName val="0"/>
          <c:showPercent val="0"/>
          <c:showBubbleSize val="0"/>
        </c:dLbls>
        <c:gapWidth val="150"/>
        <c:axId val="43859519"/>
        <c:axId val="2066784815"/>
      </c:barChart>
      <c:catAx>
        <c:axId val="4385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2066784815"/>
        <c:crosses val="autoZero"/>
        <c:auto val="1"/>
        <c:lblAlgn val="ctr"/>
        <c:lblOffset val="100"/>
        <c:noMultiLvlLbl val="0"/>
      </c:catAx>
      <c:valAx>
        <c:axId val="206678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438595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2">
                    <a:lumMod val="10000"/>
                  </a:schemeClr>
                </a:solidFill>
                <a:latin typeface="+mn-lt"/>
                <a:ea typeface="+mn-ea"/>
                <a:cs typeface="+mn-cs"/>
              </a:defRPr>
            </a:pPr>
            <a:endParaRPr lang="en-US"/>
          </a:p>
        </c:txPr>
      </c:dTable>
    </c:plotArea>
    <c:plotVisOnly val="1"/>
    <c:dispBlanksAs val="gap"/>
    <c:showDLblsOverMax val="0"/>
    <c:extLst/>
  </c:chart>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[Dashboard.xlsx]Dashboard_Quantity_Branch!PivotTable3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274758"/>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059665871121717"/>
                  <c:h val="0.16319444444444445"/>
                </c:manualLayout>
              </c15:layout>
            </c:ext>
          </c:extLst>
        </c:dLbl>
      </c:pivotFmt>
      <c:pivotFmt>
        <c:idx val="2"/>
        <c:spPr>
          <a:solidFill>
            <a:srgbClr val="C7E2EC"/>
          </a:solidFill>
          <a:ln w="19050">
            <a:solidFill>
              <a:schemeClr val="lt1"/>
            </a:solidFill>
          </a:ln>
          <a:effectLst/>
        </c:spPr>
        <c:dLbl>
          <c:idx val="0"/>
          <c:layout>
            <c:manualLayout>
              <c:x val="7.955449482895784E-3"/>
              <c:y val="-7.060185185185184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070803500397771"/>
                  <c:h val="0.16319444444444445"/>
                </c:manualLayout>
              </c15:layout>
            </c:ext>
          </c:extLst>
        </c:dLbl>
      </c:pivotFmt>
      <c:pivotFmt>
        <c:idx val="3"/>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164677804295942"/>
                  <c:h val="0.16319444444444445"/>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274758"/>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059665871121717"/>
                  <c:h val="0.16319444444444445"/>
                </c:manualLayout>
              </c15:layout>
            </c:ext>
          </c:extLst>
        </c:dLbl>
      </c:pivotFmt>
      <c:pivotFmt>
        <c:idx val="6"/>
        <c:spPr>
          <a:solidFill>
            <a:srgbClr val="C7E2EC"/>
          </a:solidFill>
          <a:ln w="19050">
            <a:solidFill>
              <a:schemeClr val="lt1"/>
            </a:solidFill>
          </a:ln>
          <a:effectLst/>
        </c:spPr>
        <c:dLbl>
          <c:idx val="0"/>
          <c:layout>
            <c:manualLayout>
              <c:x val="7.955449482895784E-3"/>
              <c:y val="-7.060185185185184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070803500397771"/>
                  <c:h val="0.16319444444444445"/>
                </c:manualLayout>
              </c15:layout>
            </c:ext>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164677804295942"/>
                  <c:h val="0.16319444444444445"/>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274758"/>
          </a:solidFill>
          <a:ln w="19050">
            <a:solidFill>
              <a:schemeClr val="lt1"/>
            </a:solidFill>
          </a:ln>
          <a:effectLst/>
        </c:spPr>
        <c:dLbl>
          <c:idx val="0"/>
          <c:layout>
            <c:manualLayout>
              <c:x val="-0.12007097256837398"/>
              <c:y val="0.17071294551713048"/>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Arial Rounded MT Bold" panose="020F0704030504030204" pitchFamily="34" charset="0"/>
                    <a:ea typeface="+mn-ea"/>
                    <a:cs typeface="+mn-cs"/>
                  </a:defRPr>
                </a:pPr>
                <a:fld id="{AF57A103-DFF6-4D4C-B4F9-6C416D40A0CC}" type="CATEGORYNAME">
                  <a:rPr lang="en-US" sz="1100"/>
                  <a:pPr>
                    <a:defRPr sz="1100" b="0" i="0" u="none" strike="noStrike" kern="1200" baseline="0">
                      <a:solidFill>
                        <a:schemeClr val="bg1"/>
                      </a:solidFill>
                      <a:latin typeface="Arial Rounded MT Bold" panose="020F0704030504030204" pitchFamily="34" charset="0"/>
                      <a:ea typeface="+mn-ea"/>
                      <a:cs typeface="+mn-cs"/>
                    </a:defRPr>
                  </a:pPr>
                  <a:t>[CATEGORY NAME]</a:t>
                </a:fld>
                <a:r>
                  <a:rPr lang="en-US" sz="1100" baseline="0"/>
                  <a:t>      </a:t>
                </a:r>
                <a:fld id="{FEC81A2D-3596-4224-8B11-EE54CF3DDDEC}" type="VALUE">
                  <a:rPr lang="en-US" sz="1100" baseline="0">
                    <a:solidFill>
                      <a:srgbClr val="274758"/>
                    </a:solidFill>
                  </a:rPr>
                  <a:pPr>
                    <a:defRPr sz="1100" b="0" i="0" u="none" strike="noStrike" kern="1200" baseline="0">
                      <a:solidFill>
                        <a:schemeClr val="bg1"/>
                      </a:solidFill>
                      <a:latin typeface="Arial Rounded MT Bold" panose="020F0704030504030204" pitchFamily="34" charset="0"/>
                      <a:ea typeface="+mn-ea"/>
                      <a:cs typeface="+mn-cs"/>
                    </a:defRPr>
                  </a:pPr>
                  <a:t>[VALUE]</a:t>
                </a:fld>
                <a:endParaRPr lang="en-US" sz="1100" baseline="0"/>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4239538547553455"/>
                  <c:h val="0.15332523683694307"/>
                </c:manualLayout>
              </c15:layout>
              <c15:dlblFieldTable/>
              <c15:showDataLabelsRange val="0"/>
            </c:ext>
          </c:extLst>
        </c:dLbl>
      </c:pivotFmt>
      <c:pivotFmt>
        <c:idx val="10"/>
        <c:spPr>
          <a:solidFill>
            <a:srgbClr val="C7E2EC"/>
          </a:solidFill>
          <a:ln w="19050">
            <a:solidFill>
              <a:schemeClr val="lt1"/>
            </a:solidFill>
          </a:ln>
          <a:effectLst/>
        </c:spPr>
        <c:dLbl>
          <c:idx val="0"/>
          <c:layout>
            <c:manualLayout>
              <c:x val="0.23714974010514381"/>
              <c:y val="-2.9006034870706236E-2"/>
            </c:manualLayout>
          </c:layout>
          <c:tx>
            <c:rich>
              <a:bodyPr rot="0" spcFirstLastPara="1" vertOverflow="ellipsis" vert="horz" wrap="square" lIns="38100" tIns="19050" rIns="38100" bIns="19050" anchor="ctr" anchorCtr="1">
                <a:noAutofit/>
              </a:bodyPr>
              <a:lstStyle/>
              <a:p>
                <a:pPr>
                  <a:defRPr sz="1100" b="0" i="0" u="none" strike="noStrike" kern="1200" baseline="0">
                    <a:solidFill>
                      <a:srgbClr val="17375B"/>
                    </a:solidFill>
                    <a:latin typeface="Arial Rounded MT Bold" panose="020F0704030504030204" pitchFamily="34" charset="0"/>
                    <a:ea typeface="+mn-ea"/>
                    <a:cs typeface="+mn-cs"/>
                  </a:defRPr>
                </a:pPr>
                <a:r>
                  <a:rPr lang="en-US" sz="1100" baseline="0">
                    <a:solidFill>
                      <a:srgbClr val="17375B"/>
                    </a:solidFill>
                  </a:rPr>
                  <a:t>  </a:t>
                </a:r>
                <a:fld id="{AD67D4F2-B7B2-4994-861C-21D74FDCCD42}" type="VALUE">
                  <a:rPr lang="en-US" sz="1100" baseline="0">
                    <a:solidFill>
                      <a:srgbClr val="17375B"/>
                    </a:solidFill>
                  </a:rPr>
                  <a:pPr>
                    <a:defRPr sz="1100" b="0" i="0" u="none" strike="noStrike" kern="1200" baseline="0">
                      <a:solidFill>
                        <a:srgbClr val="17375B"/>
                      </a:solidFill>
                      <a:latin typeface="Arial Rounded MT Bold" panose="020F0704030504030204" pitchFamily="34" charset="0"/>
                      <a:ea typeface="+mn-ea"/>
                      <a:cs typeface="+mn-cs"/>
                    </a:defRPr>
                  </a:pPr>
                  <a:t>[VALUE]</a:t>
                </a:fld>
                <a:endParaRPr lang="en-US" sz="1100" baseline="0">
                  <a:solidFill>
                    <a:srgbClr val="17375B"/>
                  </a:solidFill>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6720462791769167"/>
                  <c:h val="0.14627854447688171"/>
                </c:manualLayout>
              </c15:layout>
              <c15:dlblFieldTable/>
              <c15:showDataLabelsRange val="0"/>
            </c:ext>
          </c:extLst>
        </c:dLbl>
      </c:pivotFmt>
      <c:pivotFmt>
        <c:idx val="11"/>
        <c:spPr>
          <a:solidFill>
            <a:schemeClr val="accent1"/>
          </a:solidFill>
          <a:ln w="19050">
            <a:solidFill>
              <a:schemeClr val="lt1"/>
            </a:solidFill>
          </a:ln>
          <a:effectLst/>
        </c:spPr>
        <c:dLbl>
          <c:idx val="0"/>
          <c:layout>
            <c:manualLayout>
              <c:x val="8.4262226812192434E-2"/>
              <c:y val="0.1731574460842574"/>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Arial Rounded MT Bold" panose="020F0704030504030204" pitchFamily="34" charset="0"/>
                    <a:ea typeface="+mn-ea"/>
                    <a:cs typeface="+mn-cs"/>
                  </a:defRPr>
                </a:pPr>
                <a:fld id="{9EBE92A9-3BDC-45D0-AA43-8535BFC6A55D}" type="VALUE">
                  <a:rPr lang="en-US" sz="1200" b="0" i="0" u="none" strike="noStrike" kern="1200" baseline="0">
                    <a:solidFill>
                      <a:schemeClr val="tx1"/>
                    </a:solidFill>
                    <a:latin typeface="Arial Rounded MT Bold" panose="020F0704030504030204" pitchFamily="34" charset="0"/>
                  </a:rPr>
                  <a:pPr>
                    <a:defRPr sz="1200" b="0" i="0" u="none" strike="noStrike" kern="1200" baseline="0">
                      <a:solidFill>
                        <a:schemeClr val="tx1"/>
                      </a:solidFill>
                      <a:latin typeface="Arial Rounded MT Bold" panose="020F0704030504030204" pitchFamily="34" charset="0"/>
                      <a:ea typeface="+mn-ea"/>
                      <a:cs typeface="+mn-cs"/>
                    </a:defRPr>
                  </a:pPr>
                  <a:t>[VALUE]</a:t>
                </a:fld>
                <a:r>
                  <a:rPr lang="en-US" sz="1200" b="0" i="0" u="none" strike="noStrike" kern="1200" baseline="0">
                    <a:solidFill>
                      <a:schemeClr val="tx1"/>
                    </a:solidFill>
                    <a:latin typeface="Arial Rounded MT Bold" panose="020F0704030504030204" pitchFamily="34" charset="0"/>
                  </a:rPr>
                  <a:t>     </a:t>
                </a:r>
                <a:fld id="{270FE6F4-BCC3-40BC-8015-9631444C6155}" type="CATEGORYNAME">
                  <a:rPr lang="en-US" sz="1200">
                    <a:solidFill>
                      <a:schemeClr val="tx1"/>
                    </a:solidFill>
                  </a:rPr>
                  <a:pPr>
                    <a:defRPr sz="1200" b="0" i="0" u="none" strike="noStrike" kern="1200" baseline="0">
                      <a:solidFill>
                        <a:schemeClr val="tx1"/>
                      </a:solidFill>
                      <a:latin typeface="Arial Rounded MT Bold" panose="020F0704030504030204" pitchFamily="34" charset="0"/>
                      <a:ea typeface="+mn-ea"/>
                      <a:cs typeface="+mn-cs"/>
                    </a:defRPr>
                  </a:pPr>
                  <a:t>[CATEGORY NAME]</a:t>
                </a:fld>
                <a:endParaRPr lang="en-US" sz="1200" b="0" i="0" u="none" strike="noStrike" kern="1200" baseline="0">
                  <a:solidFill>
                    <a:schemeClr val="tx1"/>
                  </a:solidFill>
                  <a:latin typeface="Arial Rounded MT Bold" panose="020F0704030504030204" pitchFamily="34" charset="0"/>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2401701916312564"/>
                  <c:h val="0.14434216447618936"/>
                </c:manualLayout>
              </c15:layout>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274758"/>
          </a:solidFill>
          <a:ln w="19050">
            <a:solidFill>
              <a:schemeClr val="lt1"/>
            </a:solidFill>
          </a:ln>
          <a:effectLst/>
        </c:spPr>
        <c:dLbl>
          <c:idx val="0"/>
          <c:layout>
            <c:manualLayout>
              <c:x val="-0.12007097256837398"/>
              <c:y val="0.17071294551713048"/>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Arial Rounded MT Bold" panose="020F0704030504030204" pitchFamily="34" charset="0"/>
                    <a:ea typeface="+mn-ea"/>
                    <a:cs typeface="+mn-cs"/>
                  </a:defRPr>
                </a:pPr>
                <a:fld id="{AF57A103-DFF6-4D4C-B4F9-6C416D40A0CC}" type="CATEGORYNAME">
                  <a:rPr lang="en-US" sz="1100"/>
                  <a:pPr>
                    <a:defRPr sz="1100" b="0" i="0" u="none" strike="noStrike" kern="1200" baseline="0">
                      <a:solidFill>
                        <a:schemeClr val="bg1"/>
                      </a:solidFill>
                      <a:latin typeface="Arial Rounded MT Bold" panose="020F0704030504030204" pitchFamily="34" charset="0"/>
                      <a:ea typeface="+mn-ea"/>
                      <a:cs typeface="+mn-cs"/>
                    </a:defRPr>
                  </a:pPr>
                  <a:t>[CATEGORY NAME]</a:t>
                </a:fld>
                <a:r>
                  <a:rPr lang="en-US" sz="1100" baseline="0"/>
                  <a:t>      </a:t>
                </a:r>
                <a:fld id="{FEC81A2D-3596-4224-8B11-EE54CF3DDDEC}" type="VALUE">
                  <a:rPr lang="en-US" sz="1100" baseline="0">
                    <a:solidFill>
                      <a:srgbClr val="274758"/>
                    </a:solidFill>
                  </a:rPr>
                  <a:pPr>
                    <a:defRPr sz="1100" b="0" i="0" u="none" strike="noStrike" kern="1200" baseline="0">
                      <a:solidFill>
                        <a:schemeClr val="bg1"/>
                      </a:solidFill>
                      <a:latin typeface="Arial Rounded MT Bold" panose="020F0704030504030204" pitchFamily="34" charset="0"/>
                      <a:ea typeface="+mn-ea"/>
                      <a:cs typeface="+mn-cs"/>
                    </a:defRPr>
                  </a:pPr>
                  <a:t>[VALUE]</a:t>
                </a:fld>
                <a:endParaRPr lang="en-US" sz="1100" baseline="0"/>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4239538547553455"/>
                  <c:h val="0.15332523683694307"/>
                </c:manualLayout>
              </c15:layout>
              <c15:dlblFieldTable/>
              <c15:showDataLabelsRange val="0"/>
            </c:ext>
          </c:extLst>
        </c:dLbl>
      </c:pivotFmt>
      <c:pivotFmt>
        <c:idx val="14"/>
        <c:spPr>
          <a:solidFill>
            <a:srgbClr val="C7E2EC"/>
          </a:solidFill>
          <a:ln w="19050">
            <a:solidFill>
              <a:schemeClr val="lt1"/>
            </a:solidFill>
          </a:ln>
          <a:effectLst/>
        </c:spPr>
        <c:dLbl>
          <c:idx val="0"/>
          <c:layout>
            <c:manualLayout>
              <c:x val="0.23714974010514381"/>
              <c:y val="-2.9006034870706236E-2"/>
            </c:manualLayout>
          </c:layout>
          <c:tx>
            <c:rich>
              <a:bodyPr rot="0" spcFirstLastPara="1" vertOverflow="ellipsis" vert="horz" wrap="square" lIns="38100" tIns="19050" rIns="38100" bIns="19050" anchor="ctr" anchorCtr="1">
                <a:noAutofit/>
              </a:bodyPr>
              <a:lstStyle/>
              <a:p>
                <a:pPr>
                  <a:defRPr sz="1100" b="0" i="0" u="none" strike="noStrike" kern="1200" baseline="0">
                    <a:solidFill>
                      <a:srgbClr val="17375B"/>
                    </a:solidFill>
                    <a:latin typeface="Arial Rounded MT Bold" panose="020F0704030504030204" pitchFamily="34" charset="0"/>
                    <a:ea typeface="+mn-ea"/>
                    <a:cs typeface="+mn-cs"/>
                  </a:defRPr>
                </a:pPr>
                <a:r>
                  <a:rPr lang="en-US" sz="1100" baseline="0">
                    <a:solidFill>
                      <a:srgbClr val="17375B"/>
                    </a:solidFill>
                  </a:rPr>
                  <a:t>  </a:t>
                </a:r>
                <a:fld id="{AD67D4F2-B7B2-4994-861C-21D74FDCCD42}" type="VALUE">
                  <a:rPr lang="en-US" sz="1100" baseline="0">
                    <a:solidFill>
                      <a:srgbClr val="17375B"/>
                    </a:solidFill>
                  </a:rPr>
                  <a:pPr>
                    <a:defRPr sz="1100" b="0" i="0" u="none" strike="noStrike" kern="1200" baseline="0">
                      <a:solidFill>
                        <a:srgbClr val="17375B"/>
                      </a:solidFill>
                      <a:latin typeface="Arial Rounded MT Bold" panose="020F0704030504030204" pitchFamily="34" charset="0"/>
                      <a:ea typeface="+mn-ea"/>
                      <a:cs typeface="+mn-cs"/>
                    </a:defRPr>
                  </a:pPr>
                  <a:t>[VALUE]</a:t>
                </a:fld>
                <a:endParaRPr lang="en-US" sz="1100" baseline="0">
                  <a:solidFill>
                    <a:srgbClr val="17375B"/>
                  </a:solidFill>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6720462791769167"/>
                  <c:h val="0.14627854447688171"/>
                </c:manualLayout>
              </c15:layout>
              <c15:dlblFieldTable/>
              <c15:showDataLabelsRange val="0"/>
            </c:ext>
          </c:extLst>
        </c:dLbl>
      </c:pivotFmt>
      <c:pivotFmt>
        <c:idx val="15"/>
        <c:spPr>
          <a:solidFill>
            <a:schemeClr val="accent1"/>
          </a:solidFill>
          <a:ln w="19050">
            <a:solidFill>
              <a:schemeClr val="lt1"/>
            </a:solidFill>
          </a:ln>
          <a:effectLst/>
        </c:spPr>
        <c:dLbl>
          <c:idx val="0"/>
          <c:layout>
            <c:manualLayout>
              <c:x val="8.4262226812192434E-2"/>
              <c:y val="0.1731574460842574"/>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Arial Rounded MT Bold" panose="020F0704030504030204" pitchFamily="34" charset="0"/>
                    <a:ea typeface="+mn-ea"/>
                    <a:cs typeface="+mn-cs"/>
                  </a:defRPr>
                </a:pPr>
                <a:fld id="{9EBE92A9-3BDC-45D0-AA43-8535BFC6A55D}" type="VALUE">
                  <a:rPr lang="en-US" sz="1200" b="0" i="0" u="none" strike="noStrike" kern="1200" baseline="0">
                    <a:solidFill>
                      <a:schemeClr val="tx1"/>
                    </a:solidFill>
                    <a:latin typeface="Arial Rounded MT Bold" panose="020F0704030504030204" pitchFamily="34" charset="0"/>
                  </a:rPr>
                  <a:pPr>
                    <a:defRPr sz="1200" b="0" i="0" u="none" strike="noStrike" kern="1200" baseline="0">
                      <a:solidFill>
                        <a:schemeClr val="tx1"/>
                      </a:solidFill>
                      <a:latin typeface="Arial Rounded MT Bold" panose="020F0704030504030204" pitchFamily="34" charset="0"/>
                      <a:ea typeface="+mn-ea"/>
                      <a:cs typeface="+mn-cs"/>
                    </a:defRPr>
                  </a:pPr>
                  <a:t>[VALUE]</a:t>
                </a:fld>
                <a:r>
                  <a:rPr lang="en-US" sz="1200" b="0" i="0" u="none" strike="noStrike" kern="1200" baseline="0">
                    <a:solidFill>
                      <a:schemeClr val="tx1"/>
                    </a:solidFill>
                    <a:latin typeface="Arial Rounded MT Bold" panose="020F0704030504030204" pitchFamily="34" charset="0"/>
                  </a:rPr>
                  <a:t>     </a:t>
                </a:r>
                <a:fld id="{270FE6F4-BCC3-40BC-8015-9631444C6155}" type="CATEGORYNAME">
                  <a:rPr lang="en-US" sz="1200">
                    <a:solidFill>
                      <a:schemeClr val="tx1"/>
                    </a:solidFill>
                  </a:rPr>
                  <a:pPr>
                    <a:defRPr sz="1200" b="0" i="0" u="none" strike="noStrike" kern="1200" baseline="0">
                      <a:solidFill>
                        <a:schemeClr val="tx1"/>
                      </a:solidFill>
                      <a:latin typeface="Arial Rounded MT Bold" panose="020F0704030504030204" pitchFamily="34" charset="0"/>
                      <a:ea typeface="+mn-ea"/>
                      <a:cs typeface="+mn-cs"/>
                    </a:defRPr>
                  </a:pPr>
                  <a:t>[CATEGORY NAME]</a:t>
                </a:fld>
                <a:endParaRPr lang="en-US" sz="1200" b="0" i="0" u="none" strike="noStrike" kern="1200" baseline="0">
                  <a:solidFill>
                    <a:schemeClr val="tx1"/>
                  </a:solidFill>
                  <a:latin typeface="Arial Rounded MT Bold" panose="020F0704030504030204" pitchFamily="34" charset="0"/>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2401701916312564"/>
                  <c:h val="0.14434216447618936"/>
                </c:manualLayout>
              </c15:layout>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rgbClr val="274758"/>
          </a:solidFill>
          <a:ln w="19050">
            <a:solidFill>
              <a:schemeClr val="lt1"/>
            </a:solidFill>
          </a:ln>
          <a:effectLst/>
        </c:spPr>
        <c:dLbl>
          <c:idx val="0"/>
          <c:layout>
            <c:manualLayout>
              <c:x val="-0.12007097256837398"/>
              <c:y val="0.17071294551713048"/>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Arial Rounded MT Bold" panose="020F0704030504030204" pitchFamily="34" charset="0"/>
                    <a:ea typeface="+mn-ea"/>
                    <a:cs typeface="+mn-cs"/>
                  </a:defRPr>
                </a:pPr>
                <a:fld id="{AF57A103-DFF6-4D4C-B4F9-6C416D40A0CC}" type="CATEGORYNAME">
                  <a:rPr lang="en-US" sz="1100"/>
                  <a:pPr>
                    <a:defRPr sz="1100" b="0" i="0" u="none" strike="noStrike" kern="1200" baseline="0">
                      <a:solidFill>
                        <a:schemeClr val="bg1"/>
                      </a:solidFill>
                      <a:latin typeface="Arial Rounded MT Bold" panose="020F0704030504030204" pitchFamily="34" charset="0"/>
                      <a:ea typeface="+mn-ea"/>
                      <a:cs typeface="+mn-cs"/>
                    </a:defRPr>
                  </a:pPr>
                  <a:t>[CATEGORY NAME]</a:t>
                </a:fld>
                <a:r>
                  <a:rPr lang="en-US" sz="1100" baseline="0"/>
                  <a:t>      </a:t>
                </a:r>
                <a:fld id="{FEC81A2D-3596-4224-8B11-EE54CF3DDDEC}" type="VALUE">
                  <a:rPr lang="en-US" sz="1100" baseline="0">
                    <a:solidFill>
                      <a:srgbClr val="274758"/>
                    </a:solidFill>
                  </a:rPr>
                  <a:pPr>
                    <a:defRPr sz="1100" b="0" i="0" u="none" strike="noStrike" kern="1200" baseline="0">
                      <a:solidFill>
                        <a:schemeClr val="bg1"/>
                      </a:solidFill>
                      <a:latin typeface="Arial Rounded MT Bold" panose="020F0704030504030204" pitchFamily="34" charset="0"/>
                      <a:ea typeface="+mn-ea"/>
                      <a:cs typeface="+mn-cs"/>
                    </a:defRPr>
                  </a:pPr>
                  <a:t>[VALUE]</a:t>
                </a:fld>
                <a:endParaRPr lang="en-US" sz="1100" baseline="0"/>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4239538547553455"/>
                  <c:h val="0.15332523683694307"/>
                </c:manualLayout>
              </c15:layout>
              <c15:dlblFieldTable/>
              <c15:showDataLabelsRange val="0"/>
            </c:ext>
          </c:extLst>
        </c:dLbl>
      </c:pivotFmt>
      <c:pivotFmt>
        <c:idx val="18"/>
        <c:spPr>
          <a:solidFill>
            <a:srgbClr val="C7E2EC"/>
          </a:solidFill>
          <a:ln w="19050">
            <a:solidFill>
              <a:schemeClr val="lt1"/>
            </a:solidFill>
          </a:ln>
          <a:effectLst/>
        </c:spPr>
        <c:dLbl>
          <c:idx val="0"/>
          <c:layout>
            <c:manualLayout>
              <c:x val="0.23714974010514381"/>
              <c:y val="-2.9006034870706236E-2"/>
            </c:manualLayout>
          </c:layout>
          <c:tx>
            <c:rich>
              <a:bodyPr rot="0" spcFirstLastPara="1" vertOverflow="ellipsis" vert="horz" wrap="square" lIns="38100" tIns="19050" rIns="38100" bIns="19050" anchor="ctr" anchorCtr="1">
                <a:noAutofit/>
              </a:bodyPr>
              <a:lstStyle/>
              <a:p>
                <a:pPr>
                  <a:defRPr sz="1100" b="0" i="0" u="none" strike="noStrike" kern="1200" baseline="0">
                    <a:solidFill>
                      <a:srgbClr val="17375B"/>
                    </a:solidFill>
                    <a:latin typeface="Arial Rounded MT Bold" panose="020F0704030504030204" pitchFamily="34" charset="0"/>
                    <a:ea typeface="+mn-ea"/>
                    <a:cs typeface="+mn-cs"/>
                  </a:defRPr>
                </a:pPr>
                <a:r>
                  <a:rPr lang="en-US" sz="1100" baseline="0">
                    <a:solidFill>
                      <a:srgbClr val="17375B"/>
                    </a:solidFill>
                  </a:rPr>
                  <a:t>  </a:t>
                </a:r>
                <a:fld id="{AD67D4F2-B7B2-4994-861C-21D74FDCCD42}" type="VALUE">
                  <a:rPr lang="en-US" sz="1100" baseline="0">
                    <a:solidFill>
                      <a:srgbClr val="17375B"/>
                    </a:solidFill>
                  </a:rPr>
                  <a:pPr>
                    <a:defRPr sz="1100" b="0" i="0" u="none" strike="noStrike" kern="1200" baseline="0">
                      <a:solidFill>
                        <a:srgbClr val="17375B"/>
                      </a:solidFill>
                      <a:latin typeface="Arial Rounded MT Bold" panose="020F0704030504030204" pitchFamily="34" charset="0"/>
                      <a:ea typeface="+mn-ea"/>
                      <a:cs typeface="+mn-cs"/>
                    </a:defRPr>
                  </a:pPr>
                  <a:t>[VALUE]</a:t>
                </a:fld>
                <a:endParaRPr lang="en-US" sz="1100" baseline="0">
                  <a:solidFill>
                    <a:srgbClr val="17375B"/>
                  </a:solidFill>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6720462791769167"/>
                  <c:h val="0.14627854447688171"/>
                </c:manualLayout>
              </c15:layout>
              <c15:dlblFieldTable/>
              <c15:showDataLabelsRange val="0"/>
            </c:ext>
          </c:extLst>
        </c:dLbl>
      </c:pivotFmt>
      <c:pivotFmt>
        <c:idx val="19"/>
        <c:spPr>
          <a:solidFill>
            <a:schemeClr val="accent1"/>
          </a:solidFill>
          <a:ln w="19050">
            <a:solidFill>
              <a:schemeClr val="lt1"/>
            </a:solidFill>
          </a:ln>
          <a:effectLst/>
        </c:spPr>
        <c:dLbl>
          <c:idx val="0"/>
          <c:layout>
            <c:manualLayout>
              <c:x val="8.4262226812192434E-2"/>
              <c:y val="0.1731574460842574"/>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Arial Rounded MT Bold" panose="020F0704030504030204" pitchFamily="34" charset="0"/>
                    <a:ea typeface="+mn-ea"/>
                    <a:cs typeface="+mn-cs"/>
                  </a:defRPr>
                </a:pPr>
                <a:fld id="{9EBE92A9-3BDC-45D0-AA43-8535BFC6A55D}" type="VALUE">
                  <a:rPr lang="en-US" sz="1200" b="0" i="0" u="none" strike="noStrike" kern="1200" baseline="0">
                    <a:solidFill>
                      <a:schemeClr val="tx1"/>
                    </a:solidFill>
                    <a:latin typeface="Arial Rounded MT Bold" panose="020F0704030504030204" pitchFamily="34" charset="0"/>
                  </a:rPr>
                  <a:pPr>
                    <a:defRPr sz="1200" b="0" i="0" u="none" strike="noStrike" kern="1200" baseline="0">
                      <a:solidFill>
                        <a:schemeClr val="tx1"/>
                      </a:solidFill>
                      <a:latin typeface="Arial Rounded MT Bold" panose="020F0704030504030204" pitchFamily="34" charset="0"/>
                      <a:ea typeface="+mn-ea"/>
                      <a:cs typeface="+mn-cs"/>
                    </a:defRPr>
                  </a:pPr>
                  <a:t>[VALUE]</a:t>
                </a:fld>
                <a:r>
                  <a:rPr lang="en-US" sz="1200" b="0" i="0" u="none" strike="noStrike" kern="1200" baseline="0">
                    <a:solidFill>
                      <a:schemeClr val="tx1"/>
                    </a:solidFill>
                    <a:latin typeface="Arial Rounded MT Bold" panose="020F0704030504030204" pitchFamily="34" charset="0"/>
                  </a:rPr>
                  <a:t>     </a:t>
                </a:r>
                <a:fld id="{270FE6F4-BCC3-40BC-8015-9631444C6155}" type="CATEGORYNAME">
                  <a:rPr lang="en-US" sz="1200">
                    <a:solidFill>
                      <a:schemeClr val="tx1"/>
                    </a:solidFill>
                  </a:rPr>
                  <a:pPr>
                    <a:defRPr sz="1200" b="0" i="0" u="none" strike="noStrike" kern="1200" baseline="0">
                      <a:solidFill>
                        <a:schemeClr val="tx1"/>
                      </a:solidFill>
                      <a:latin typeface="Arial Rounded MT Bold" panose="020F0704030504030204" pitchFamily="34" charset="0"/>
                      <a:ea typeface="+mn-ea"/>
                      <a:cs typeface="+mn-cs"/>
                    </a:defRPr>
                  </a:pPr>
                  <a:t>[CATEGORY NAME]</a:t>
                </a:fld>
                <a:endParaRPr lang="en-US" sz="1200" b="0" i="0" u="none" strike="noStrike" kern="1200" baseline="0">
                  <a:solidFill>
                    <a:schemeClr val="tx1"/>
                  </a:solidFill>
                  <a:latin typeface="Arial Rounded MT Bold" panose="020F0704030504030204" pitchFamily="34" charset="0"/>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2401701916312564"/>
                  <c:h val="0.14434216447618936"/>
                </c:manualLayout>
              </c15:layout>
              <c15:dlblFieldTable/>
              <c15:showDataLabelsRange val="0"/>
            </c:ext>
          </c:extLst>
        </c:dLbl>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rgbClr val="274758"/>
          </a:solidFill>
          <a:ln w="19050">
            <a:solidFill>
              <a:schemeClr val="lt1"/>
            </a:solidFill>
          </a:ln>
          <a:effectLst/>
        </c:spPr>
        <c:dLbl>
          <c:idx val="0"/>
          <c:layout>
            <c:manualLayout>
              <c:x val="-0.12007097256837398"/>
              <c:y val="0.17071294551713048"/>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Arial Rounded MT Bold" panose="020F0704030504030204" pitchFamily="34" charset="0"/>
                    <a:ea typeface="+mn-ea"/>
                    <a:cs typeface="+mn-cs"/>
                  </a:defRPr>
                </a:pPr>
                <a:fld id="{AF57A103-DFF6-4D4C-B4F9-6C416D40A0CC}" type="CATEGORYNAME">
                  <a:rPr lang="en-US" sz="1100"/>
                  <a:pPr>
                    <a:defRPr sz="1100" b="0" i="0" u="none" strike="noStrike" kern="1200" baseline="0">
                      <a:solidFill>
                        <a:schemeClr val="bg1"/>
                      </a:solidFill>
                      <a:latin typeface="Arial Rounded MT Bold" panose="020F0704030504030204" pitchFamily="34" charset="0"/>
                      <a:ea typeface="+mn-ea"/>
                      <a:cs typeface="+mn-cs"/>
                    </a:defRPr>
                  </a:pPr>
                  <a:t>[CATEGORY NAME]</a:t>
                </a:fld>
                <a:r>
                  <a:rPr lang="en-US" sz="1100" baseline="0"/>
                  <a:t>      </a:t>
                </a:r>
                <a:fld id="{FEC81A2D-3596-4224-8B11-EE54CF3DDDEC}" type="VALUE">
                  <a:rPr lang="en-US" sz="1100" baseline="0">
                    <a:solidFill>
                      <a:srgbClr val="274758"/>
                    </a:solidFill>
                  </a:rPr>
                  <a:pPr>
                    <a:defRPr sz="1100" b="0" i="0" u="none" strike="noStrike" kern="1200" baseline="0">
                      <a:solidFill>
                        <a:schemeClr val="bg1"/>
                      </a:solidFill>
                      <a:latin typeface="Arial Rounded MT Bold" panose="020F0704030504030204" pitchFamily="34" charset="0"/>
                      <a:ea typeface="+mn-ea"/>
                      <a:cs typeface="+mn-cs"/>
                    </a:defRPr>
                  </a:pPr>
                  <a:t>[VALUE]</a:t>
                </a:fld>
                <a:endParaRPr lang="en-US" sz="1100" baseline="0"/>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4239538547553455"/>
                  <c:h val="0.15332523683694307"/>
                </c:manualLayout>
              </c15:layout>
              <c15:dlblFieldTable/>
              <c15:showDataLabelsRange val="0"/>
            </c:ext>
          </c:extLst>
        </c:dLbl>
      </c:pivotFmt>
      <c:pivotFmt>
        <c:idx val="22"/>
        <c:spPr>
          <a:solidFill>
            <a:srgbClr val="C7E2EC"/>
          </a:solidFill>
          <a:ln w="19050">
            <a:solidFill>
              <a:schemeClr val="lt1"/>
            </a:solidFill>
          </a:ln>
          <a:effectLst/>
        </c:spPr>
        <c:dLbl>
          <c:idx val="0"/>
          <c:layout>
            <c:manualLayout>
              <c:x val="0.23714974010514381"/>
              <c:y val="-2.9006034870706236E-2"/>
            </c:manualLayout>
          </c:layout>
          <c:tx>
            <c:rich>
              <a:bodyPr rot="0" spcFirstLastPara="1" vertOverflow="ellipsis" vert="horz" wrap="square" lIns="38100" tIns="19050" rIns="38100" bIns="19050" anchor="ctr" anchorCtr="1">
                <a:noAutofit/>
              </a:bodyPr>
              <a:lstStyle/>
              <a:p>
                <a:pPr>
                  <a:defRPr sz="1100" b="0" i="0" u="none" strike="noStrike" kern="1200" baseline="0">
                    <a:solidFill>
                      <a:srgbClr val="17375B"/>
                    </a:solidFill>
                    <a:latin typeface="Arial Rounded MT Bold" panose="020F0704030504030204" pitchFamily="34" charset="0"/>
                    <a:ea typeface="+mn-ea"/>
                    <a:cs typeface="+mn-cs"/>
                  </a:defRPr>
                </a:pPr>
                <a:r>
                  <a:rPr lang="en-US" sz="1100" baseline="0">
                    <a:solidFill>
                      <a:srgbClr val="17375B"/>
                    </a:solidFill>
                  </a:rPr>
                  <a:t>  </a:t>
                </a:r>
                <a:fld id="{AD67D4F2-B7B2-4994-861C-21D74FDCCD42}" type="VALUE">
                  <a:rPr lang="en-US" sz="1100" baseline="0">
                    <a:solidFill>
                      <a:srgbClr val="17375B"/>
                    </a:solidFill>
                  </a:rPr>
                  <a:pPr>
                    <a:defRPr sz="1100" b="0" i="0" u="none" strike="noStrike" kern="1200" baseline="0">
                      <a:solidFill>
                        <a:srgbClr val="17375B"/>
                      </a:solidFill>
                      <a:latin typeface="Arial Rounded MT Bold" panose="020F0704030504030204" pitchFamily="34" charset="0"/>
                      <a:ea typeface="+mn-ea"/>
                      <a:cs typeface="+mn-cs"/>
                    </a:defRPr>
                  </a:pPr>
                  <a:t>[VALUE]</a:t>
                </a:fld>
                <a:endParaRPr lang="en-US" sz="1100" baseline="0">
                  <a:solidFill>
                    <a:srgbClr val="17375B"/>
                  </a:solidFill>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6720462791769167"/>
                  <c:h val="0.14627854447688171"/>
                </c:manualLayout>
              </c15:layout>
              <c15:dlblFieldTable/>
              <c15:showDataLabelsRange val="0"/>
            </c:ext>
          </c:extLst>
        </c:dLbl>
      </c:pivotFmt>
      <c:pivotFmt>
        <c:idx val="23"/>
        <c:spPr>
          <a:solidFill>
            <a:schemeClr val="accent3"/>
          </a:solidFill>
          <a:ln w="19050">
            <a:solidFill>
              <a:schemeClr val="lt1"/>
            </a:solidFill>
          </a:ln>
          <a:effectLst/>
        </c:spPr>
        <c:dLbl>
          <c:idx val="0"/>
          <c:layout>
            <c:manualLayout>
              <c:x val="8.4262226812192434E-2"/>
              <c:y val="0.1731574460842574"/>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Arial Rounded MT Bold" panose="020F0704030504030204" pitchFamily="34" charset="0"/>
                    <a:ea typeface="+mn-ea"/>
                    <a:cs typeface="+mn-cs"/>
                  </a:defRPr>
                </a:pPr>
                <a:fld id="{9EBE92A9-3BDC-45D0-AA43-8535BFC6A55D}" type="VALUE">
                  <a:rPr lang="en-US" sz="1200" b="0" i="0" u="none" strike="noStrike" kern="1200" baseline="0">
                    <a:solidFill>
                      <a:schemeClr val="tx1"/>
                    </a:solidFill>
                    <a:latin typeface="Arial Rounded MT Bold" panose="020F0704030504030204" pitchFamily="34" charset="0"/>
                  </a:rPr>
                  <a:pPr>
                    <a:defRPr sz="1200" b="0" i="0" u="none" strike="noStrike" kern="1200" baseline="0">
                      <a:solidFill>
                        <a:schemeClr val="tx1"/>
                      </a:solidFill>
                      <a:latin typeface="Arial Rounded MT Bold" panose="020F0704030504030204" pitchFamily="34" charset="0"/>
                      <a:ea typeface="+mn-ea"/>
                      <a:cs typeface="+mn-cs"/>
                    </a:defRPr>
                  </a:pPr>
                  <a:t>[VALUE]</a:t>
                </a:fld>
                <a:r>
                  <a:rPr lang="en-US" sz="1200" b="0" i="0" u="none" strike="noStrike" kern="1200" baseline="0">
                    <a:solidFill>
                      <a:schemeClr val="tx1"/>
                    </a:solidFill>
                    <a:latin typeface="Arial Rounded MT Bold" panose="020F0704030504030204" pitchFamily="34" charset="0"/>
                  </a:rPr>
                  <a:t>     </a:t>
                </a:r>
                <a:fld id="{270FE6F4-BCC3-40BC-8015-9631444C6155}" type="CATEGORYNAME">
                  <a:rPr lang="en-US" sz="1200">
                    <a:solidFill>
                      <a:schemeClr val="tx1"/>
                    </a:solidFill>
                  </a:rPr>
                  <a:pPr>
                    <a:defRPr sz="1200" b="0" i="0" u="none" strike="noStrike" kern="1200" baseline="0">
                      <a:solidFill>
                        <a:schemeClr val="tx1"/>
                      </a:solidFill>
                      <a:latin typeface="Arial Rounded MT Bold" panose="020F0704030504030204" pitchFamily="34" charset="0"/>
                      <a:ea typeface="+mn-ea"/>
                      <a:cs typeface="+mn-cs"/>
                    </a:defRPr>
                  </a:pPr>
                  <a:t>[CATEGORY NAME]</a:t>
                </a:fld>
                <a:endParaRPr lang="en-US" sz="1200" b="0" i="0" u="none" strike="noStrike" kern="1200" baseline="0">
                  <a:solidFill>
                    <a:schemeClr val="tx1"/>
                  </a:solidFill>
                  <a:latin typeface="Arial Rounded MT Bold" panose="020F0704030504030204" pitchFamily="34" charset="0"/>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2401701916312564"/>
                  <c:h val="0.14434216447618936"/>
                </c:manualLayout>
              </c15:layout>
              <c15:dlblFieldTable/>
              <c15:showDataLabelsRange val="0"/>
            </c:ext>
          </c:extLst>
        </c:dLbl>
      </c:pivotFmt>
      <c:pivotFmt>
        <c:idx val="2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rgbClr val="274758"/>
          </a:solidFill>
          <a:ln w="19050">
            <a:solidFill>
              <a:schemeClr val="lt1"/>
            </a:solidFill>
          </a:ln>
          <a:effectLst/>
        </c:spPr>
        <c:dLbl>
          <c:idx val="0"/>
          <c:layout>
            <c:manualLayout>
              <c:x val="-0.12007097256837398"/>
              <c:y val="0.17071294551713048"/>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Arial Rounded MT Bold" panose="020F0704030504030204" pitchFamily="34" charset="0"/>
                    <a:ea typeface="+mn-ea"/>
                    <a:cs typeface="+mn-cs"/>
                  </a:defRPr>
                </a:pPr>
                <a:fld id="{AF57A103-DFF6-4D4C-B4F9-6C416D40A0CC}" type="CATEGORYNAME">
                  <a:rPr lang="en-US" sz="1100"/>
                  <a:pPr>
                    <a:defRPr sz="1100" b="0" i="0" u="none" strike="noStrike" kern="1200" baseline="0">
                      <a:solidFill>
                        <a:schemeClr val="bg1"/>
                      </a:solidFill>
                      <a:latin typeface="Arial Rounded MT Bold" panose="020F0704030504030204" pitchFamily="34" charset="0"/>
                      <a:ea typeface="+mn-ea"/>
                      <a:cs typeface="+mn-cs"/>
                    </a:defRPr>
                  </a:pPr>
                  <a:t>[CATEGORY NAME]</a:t>
                </a:fld>
                <a:r>
                  <a:rPr lang="en-US" sz="1100" baseline="0"/>
                  <a:t>      </a:t>
                </a:r>
                <a:fld id="{FEC81A2D-3596-4224-8B11-EE54CF3DDDEC}" type="VALUE">
                  <a:rPr lang="en-US" sz="1100" baseline="0">
                    <a:solidFill>
                      <a:srgbClr val="274758"/>
                    </a:solidFill>
                  </a:rPr>
                  <a:pPr>
                    <a:defRPr sz="1100" b="0" i="0" u="none" strike="noStrike" kern="1200" baseline="0">
                      <a:solidFill>
                        <a:schemeClr val="bg1"/>
                      </a:solidFill>
                      <a:latin typeface="Arial Rounded MT Bold" panose="020F0704030504030204" pitchFamily="34" charset="0"/>
                      <a:ea typeface="+mn-ea"/>
                      <a:cs typeface="+mn-cs"/>
                    </a:defRPr>
                  </a:pPr>
                  <a:t>[VALUE]</a:t>
                </a:fld>
                <a:endParaRPr lang="en-US" sz="1100" baseline="0"/>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4239538547553455"/>
                  <c:h val="0.15332523683694307"/>
                </c:manualLayout>
              </c15:layout>
              <c15:dlblFieldTable/>
              <c15:showDataLabelsRange val="0"/>
            </c:ext>
          </c:extLst>
        </c:dLbl>
      </c:pivotFmt>
      <c:pivotFmt>
        <c:idx val="26"/>
        <c:spPr>
          <a:solidFill>
            <a:srgbClr val="C7E2EC"/>
          </a:solidFill>
          <a:ln w="19050">
            <a:solidFill>
              <a:schemeClr val="lt1"/>
            </a:solidFill>
          </a:ln>
          <a:effectLst/>
        </c:spPr>
        <c:dLbl>
          <c:idx val="0"/>
          <c:layout>
            <c:manualLayout>
              <c:x val="0.23714974010514381"/>
              <c:y val="-2.9006034870706236E-2"/>
            </c:manualLayout>
          </c:layout>
          <c:tx>
            <c:rich>
              <a:bodyPr rot="0" spcFirstLastPara="1" vertOverflow="ellipsis" vert="horz" wrap="square" lIns="38100" tIns="19050" rIns="38100" bIns="19050" anchor="ctr" anchorCtr="1">
                <a:noAutofit/>
              </a:bodyPr>
              <a:lstStyle/>
              <a:p>
                <a:pPr>
                  <a:defRPr sz="1100" b="0" i="0" u="none" strike="noStrike" kern="1200" baseline="0">
                    <a:solidFill>
                      <a:srgbClr val="17375B"/>
                    </a:solidFill>
                    <a:latin typeface="Arial Rounded MT Bold" panose="020F0704030504030204" pitchFamily="34" charset="0"/>
                    <a:ea typeface="+mn-ea"/>
                    <a:cs typeface="+mn-cs"/>
                  </a:defRPr>
                </a:pPr>
                <a:r>
                  <a:rPr lang="en-US" sz="1100" baseline="0">
                    <a:solidFill>
                      <a:srgbClr val="17375B"/>
                    </a:solidFill>
                  </a:rPr>
                  <a:t>  </a:t>
                </a:r>
                <a:fld id="{AD67D4F2-B7B2-4994-861C-21D74FDCCD42}" type="VALUE">
                  <a:rPr lang="en-US" sz="1100" baseline="0">
                    <a:solidFill>
                      <a:srgbClr val="17375B"/>
                    </a:solidFill>
                  </a:rPr>
                  <a:pPr>
                    <a:defRPr sz="1100" b="0" i="0" u="none" strike="noStrike" kern="1200" baseline="0">
                      <a:solidFill>
                        <a:srgbClr val="17375B"/>
                      </a:solidFill>
                      <a:latin typeface="Arial Rounded MT Bold" panose="020F0704030504030204" pitchFamily="34" charset="0"/>
                      <a:ea typeface="+mn-ea"/>
                      <a:cs typeface="+mn-cs"/>
                    </a:defRPr>
                  </a:pPr>
                  <a:t>[VALUE]</a:t>
                </a:fld>
                <a:endParaRPr lang="en-US" sz="1100" baseline="0">
                  <a:solidFill>
                    <a:srgbClr val="17375B"/>
                  </a:solidFill>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6720462791769167"/>
                  <c:h val="0.14627854447688171"/>
                </c:manualLayout>
              </c15:layout>
              <c15:dlblFieldTable/>
              <c15:showDataLabelsRange val="0"/>
            </c:ext>
          </c:extLst>
        </c:dLbl>
      </c:pivotFmt>
      <c:pivotFmt>
        <c:idx val="27"/>
        <c:spPr>
          <a:solidFill>
            <a:schemeClr val="accent3"/>
          </a:solidFill>
          <a:ln w="19050">
            <a:solidFill>
              <a:schemeClr val="lt1"/>
            </a:solidFill>
          </a:ln>
          <a:effectLst/>
        </c:spPr>
        <c:dLbl>
          <c:idx val="0"/>
          <c:layout>
            <c:manualLayout>
              <c:x val="8.4262226812192434E-2"/>
              <c:y val="0.1731574460842574"/>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Arial Rounded MT Bold" panose="020F0704030504030204" pitchFamily="34" charset="0"/>
                    <a:ea typeface="+mn-ea"/>
                    <a:cs typeface="+mn-cs"/>
                  </a:defRPr>
                </a:pPr>
                <a:fld id="{9EBE92A9-3BDC-45D0-AA43-8535BFC6A55D}" type="VALUE">
                  <a:rPr lang="en-US" sz="1200" b="0" i="0" u="none" strike="noStrike" kern="1200" baseline="0">
                    <a:solidFill>
                      <a:schemeClr val="tx1"/>
                    </a:solidFill>
                    <a:latin typeface="Arial Rounded MT Bold" panose="020F0704030504030204" pitchFamily="34" charset="0"/>
                  </a:rPr>
                  <a:pPr>
                    <a:defRPr sz="1200" b="0" i="0" u="none" strike="noStrike" kern="1200" baseline="0">
                      <a:solidFill>
                        <a:schemeClr val="tx1"/>
                      </a:solidFill>
                      <a:latin typeface="Arial Rounded MT Bold" panose="020F0704030504030204" pitchFamily="34" charset="0"/>
                      <a:ea typeface="+mn-ea"/>
                      <a:cs typeface="+mn-cs"/>
                    </a:defRPr>
                  </a:pPr>
                  <a:t>[VALUE]</a:t>
                </a:fld>
                <a:r>
                  <a:rPr lang="en-US" sz="1200" b="0" i="0" u="none" strike="noStrike" kern="1200" baseline="0">
                    <a:solidFill>
                      <a:schemeClr val="tx1"/>
                    </a:solidFill>
                    <a:latin typeface="Arial Rounded MT Bold" panose="020F0704030504030204" pitchFamily="34" charset="0"/>
                  </a:rPr>
                  <a:t>     </a:t>
                </a:r>
                <a:fld id="{270FE6F4-BCC3-40BC-8015-9631444C6155}" type="CATEGORYNAME">
                  <a:rPr lang="en-US" sz="1200">
                    <a:solidFill>
                      <a:schemeClr val="tx1"/>
                    </a:solidFill>
                  </a:rPr>
                  <a:pPr>
                    <a:defRPr sz="1200" b="0" i="0" u="none" strike="noStrike" kern="1200" baseline="0">
                      <a:solidFill>
                        <a:schemeClr val="tx1"/>
                      </a:solidFill>
                      <a:latin typeface="Arial Rounded MT Bold" panose="020F0704030504030204" pitchFamily="34" charset="0"/>
                      <a:ea typeface="+mn-ea"/>
                      <a:cs typeface="+mn-cs"/>
                    </a:defRPr>
                  </a:pPr>
                  <a:t>[CATEGORY NAME]</a:t>
                </a:fld>
                <a:endParaRPr lang="en-US" sz="1200" b="0" i="0" u="none" strike="noStrike" kern="1200" baseline="0">
                  <a:solidFill>
                    <a:schemeClr val="tx1"/>
                  </a:solidFill>
                  <a:latin typeface="Arial Rounded MT Bold" panose="020F0704030504030204" pitchFamily="34" charset="0"/>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2401701916312564"/>
                  <c:h val="0.14434216447618936"/>
                </c:manualLayout>
              </c15:layout>
              <c15:dlblFieldTable/>
              <c15:showDataLabelsRange val="0"/>
            </c:ext>
          </c:extLst>
        </c:dLbl>
      </c:pivotFmt>
      <c:pivotFmt>
        <c:idx val="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rgbClr val="274758"/>
          </a:solidFill>
          <a:ln w="19050">
            <a:solidFill>
              <a:schemeClr val="lt1"/>
            </a:solidFill>
          </a:ln>
          <a:effectLst/>
        </c:spPr>
        <c:dLbl>
          <c:idx val="0"/>
          <c:layout>
            <c:manualLayout>
              <c:x val="-0.12007097256837398"/>
              <c:y val="0.17071294551713048"/>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Arial Rounded MT Bold" panose="020F0704030504030204" pitchFamily="34" charset="0"/>
                    <a:ea typeface="+mn-ea"/>
                    <a:cs typeface="+mn-cs"/>
                  </a:defRPr>
                </a:pPr>
                <a:fld id="{AF57A103-DFF6-4D4C-B4F9-6C416D40A0CC}" type="CATEGORYNAME">
                  <a:rPr lang="en-US" sz="1100"/>
                  <a:pPr>
                    <a:defRPr sz="1100" b="0" i="0" u="none" strike="noStrike" kern="1200" baseline="0">
                      <a:solidFill>
                        <a:schemeClr val="bg1"/>
                      </a:solidFill>
                      <a:latin typeface="Arial Rounded MT Bold" panose="020F0704030504030204" pitchFamily="34" charset="0"/>
                      <a:ea typeface="+mn-ea"/>
                      <a:cs typeface="+mn-cs"/>
                    </a:defRPr>
                  </a:pPr>
                  <a:t>[CATEGORY NAME]</a:t>
                </a:fld>
                <a:r>
                  <a:rPr lang="en-US" sz="1100" baseline="0"/>
                  <a:t>      </a:t>
                </a:r>
                <a:fld id="{FEC81A2D-3596-4224-8B11-EE54CF3DDDEC}" type="VALUE">
                  <a:rPr lang="en-US" sz="1100" baseline="0">
                    <a:solidFill>
                      <a:srgbClr val="274758"/>
                    </a:solidFill>
                  </a:rPr>
                  <a:pPr>
                    <a:defRPr sz="1100" b="0" i="0" u="none" strike="noStrike" kern="1200" baseline="0">
                      <a:solidFill>
                        <a:schemeClr val="bg1"/>
                      </a:solidFill>
                      <a:latin typeface="Arial Rounded MT Bold" panose="020F0704030504030204" pitchFamily="34" charset="0"/>
                      <a:ea typeface="+mn-ea"/>
                      <a:cs typeface="+mn-cs"/>
                    </a:defRPr>
                  </a:pPr>
                  <a:t>[VALUE]</a:t>
                </a:fld>
                <a:endParaRPr lang="en-US" sz="1100" baseline="0"/>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4239538547553455"/>
                  <c:h val="0.15332523683694307"/>
                </c:manualLayout>
              </c15:layout>
              <c15:dlblFieldTable/>
              <c15:showDataLabelsRange val="0"/>
            </c:ext>
          </c:extLst>
        </c:dLbl>
      </c:pivotFmt>
      <c:pivotFmt>
        <c:idx val="30"/>
        <c:spPr>
          <a:solidFill>
            <a:srgbClr val="C7E2EC"/>
          </a:solidFill>
          <a:ln w="19050">
            <a:solidFill>
              <a:schemeClr val="lt1"/>
            </a:solidFill>
          </a:ln>
          <a:effectLst/>
        </c:spPr>
        <c:dLbl>
          <c:idx val="0"/>
          <c:layout>
            <c:manualLayout>
              <c:x val="0.23714974010514381"/>
              <c:y val="-2.9006034870706236E-2"/>
            </c:manualLayout>
          </c:layout>
          <c:tx>
            <c:rich>
              <a:bodyPr rot="0" spcFirstLastPara="1" vertOverflow="ellipsis" vert="horz" wrap="square" lIns="38100" tIns="19050" rIns="38100" bIns="19050" anchor="ctr" anchorCtr="1">
                <a:noAutofit/>
              </a:bodyPr>
              <a:lstStyle/>
              <a:p>
                <a:pPr>
                  <a:defRPr sz="1100" b="0" i="0" u="none" strike="noStrike" kern="1200" baseline="0">
                    <a:solidFill>
                      <a:srgbClr val="17375B"/>
                    </a:solidFill>
                    <a:latin typeface="Arial Rounded MT Bold" panose="020F0704030504030204" pitchFamily="34" charset="0"/>
                    <a:ea typeface="+mn-ea"/>
                    <a:cs typeface="+mn-cs"/>
                  </a:defRPr>
                </a:pPr>
                <a:r>
                  <a:rPr lang="en-US" sz="1100" baseline="0">
                    <a:solidFill>
                      <a:srgbClr val="17375B"/>
                    </a:solidFill>
                  </a:rPr>
                  <a:t>  </a:t>
                </a:r>
                <a:fld id="{AD67D4F2-B7B2-4994-861C-21D74FDCCD42}" type="VALUE">
                  <a:rPr lang="en-US" sz="1100" baseline="0">
                    <a:solidFill>
                      <a:srgbClr val="17375B"/>
                    </a:solidFill>
                  </a:rPr>
                  <a:pPr>
                    <a:defRPr sz="1100" b="0" i="0" u="none" strike="noStrike" kern="1200" baseline="0">
                      <a:solidFill>
                        <a:srgbClr val="17375B"/>
                      </a:solidFill>
                      <a:latin typeface="Arial Rounded MT Bold" panose="020F0704030504030204" pitchFamily="34" charset="0"/>
                      <a:ea typeface="+mn-ea"/>
                      <a:cs typeface="+mn-cs"/>
                    </a:defRPr>
                  </a:pPr>
                  <a:t>[VALUE]</a:t>
                </a:fld>
                <a:endParaRPr lang="en-US" sz="1100" baseline="0">
                  <a:solidFill>
                    <a:srgbClr val="17375B"/>
                  </a:solidFill>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6720462791769167"/>
                  <c:h val="0.14627854447688171"/>
                </c:manualLayout>
              </c15:layout>
              <c15:dlblFieldTable/>
              <c15:showDataLabelsRange val="0"/>
            </c:ext>
          </c:extLst>
        </c:dLbl>
      </c:pivotFmt>
      <c:pivotFmt>
        <c:idx val="31"/>
        <c:spPr>
          <a:solidFill>
            <a:schemeClr val="accent3"/>
          </a:solidFill>
          <a:ln w="19050">
            <a:solidFill>
              <a:schemeClr val="lt1"/>
            </a:solidFill>
          </a:ln>
          <a:effectLst/>
        </c:spPr>
        <c:dLbl>
          <c:idx val="0"/>
          <c:layout>
            <c:manualLayout>
              <c:x val="8.4262226812192434E-2"/>
              <c:y val="0.1731574460842574"/>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Arial Rounded MT Bold" panose="020F0704030504030204" pitchFamily="34" charset="0"/>
                    <a:ea typeface="+mn-ea"/>
                    <a:cs typeface="+mn-cs"/>
                  </a:defRPr>
                </a:pPr>
                <a:fld id="{9EBE92A9-3BDC-45D0-AA43-8535BFC6A55D}" type="VALUE">
                  <a:rPr lang="en-US" sz="1200" b="0" i="0" u="none" strike="noStrike" kern="1200" baseline="0">
                    <a:solidFill>
                      <a:schemeClr val="tx1"/>
                    </a:solidFill>
                    <a:latin typeface="Arial Rounded MT Bold" panose="020F0704030504030204" pitchFamily="34" charset="0"/>
                  </a:rPr>
                  <a:pPr>
                    <a:defRPr sz="1200" b="0" i="0" u="none" strike="noStrike" kern="1200" baseline="0">
                      <a:solidFill>
                        <a:schemeClr val="tx1"/>
                      </a:solidFill>
                      <a:latin typeface="Arial Rounded MT Bold" panose="020F0704030504030204" pitchFamily="34" charset="0"/>
                      <a:ea typeface="+mn-ea"/>
                      <a:cs typeface="+mn-cs"/>
                    </a:defRPr>
                  </a:pPr>
                  <a:t>[VALUE]</a:t>
                </a:fld>
                <a:r>
                  <a:rPr lang="en-US" sz="1200" b="0" i="0" u="none" strike="noStrike" kern="1200" baseline="0">
                    <a:solidFill>
                      <a:schemeClr val="tx1"/>
                    </a:solidFill>
                    <a:latin typeface="Arial Rounded MT Bold" panose="020F0704030504030204" pitchFamily="34" charset="0"/>
                  </a:rPr>
                  <a:t>     </a:t>
                </a:r>
                <a:fld id="{270FE6F4-BCC3-40BC-8015-9631444C6155}" type="CATEGORYNAME">
                  <a:rPr lang="en-US" sz="1200">
                    <a:solidFill>
                      <a:schemeClr val="tx1"/>
                    </a:solidFill>
                  </a:rPr>
                  <a:pPr>
                    <a:defRPr sz="1200" b="0" i="0" u="none" strike="noStrike" kern="1200" baseline="0">
                      <a:solidFill>
                        <a:schemeClr val="tx1"/>
                      </a:solidFill>
                      <a:latin typeface="Arial Rounded MT Bold" panose="020F0704030504030204" pitchFamily="34" charset="0"/>
                      <a:ea typeface="+mn-ea"/>
                      <a:cs typeface="+mn-cs"/>
                    </a:defRPr>
                  </a:pPr>
                  <a:t>[CATEGORY NAME]</a:t>
                </a:fld>
                <a:endParaRPr lang="en-US" sz="1200" b="0" i="0" u="none" strike="noStrike" kern="1200" baseline="0">
                  <a:solidFill>
                    <a:schemeClr val="tx1"/>
                  </a:solidFill>
                  <a:latin typeface="Arial Rounded MT Bold" panose="020F0704030504030204" pitchFamily="34" charset="0"/>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2401701916312564"/>
                  <c:h val="0.14434216447618936"/>
                </c:manualLayout>
              </c15:layout>
              <c15:dlblFieldTable/>
              <c15:showDataLabelsRange val="0"/>
            </c:ext>
          </c:extLst>
        </c:dLbl>
      </c:pivotFmt>
      <c:pivotFmt>
        <c:idx val="3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rgbClr val="274758"/>
          </a:solidFill>
          <a:ln w="19050">
            <a:solidFill>
              <a:schemeClr val="lt1"/>
            </a:solidFill>
          </a:ln>
          <a:effectLst/>
        </c:spPr>
        <c:dLbl>
          <c:idx val="0"/>
          <c:layout>
            <c:manualLayout>
              <c:x val="-0.15107768385080364"/>
              <c:y val="0.17071263111131615"/>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Arial Rounded MT Bold" panose="020F0704030504030204" pitchFamily="34" charset="0"/>
                    <a:ea typeface="+mn-ea"/>
                    <a:cs typeface="+mn-cs"/>
                  </a:defRPr>
                </a:pPr>
                <a:fld id="{AF57A103-DFF6-4D4C-B4F9-6C416D40A0CC}" type="CATEGORYNAME">
                  <a:rPr lang="en-US" sz="1100"/>
                  <a:pPr>
                    <a:defRPr sz="1100" b="0" i="0" u="none" strike="noStrike" kern="1200" baseline="0">
                      <a:solidFill>
                        <a:schemeClr val="bg1"/>
                      </a:solidFill>
                      <a:latin typeface="Arial Rounded MT Bold" panose="020F0704030504030204" pitchFamily="34" charset="0"/>
                      <a:ea typeface="+mn-ea"/>
                      <a:cs typeface="+mn-cs"/>
                    </a:defRPr>
                  </a:pPr>
                  <a:t>[CATEGORY NAME]</a:t>
                </a:fld>
                <a:r>
                  <a:rPr lang="en-US" sz="1100" baseline="0"/>
                  <a:t>      </a:t>
                </a:r>
                <a:fld id="{FEC81A2D-3596-4224-8B11-EE54CF3DDDEC}" type="VALUE">
                  <a:rPr lang="en-US" sz="1100" baseline="0">
                    <a:solidFill>
                      <a:srgbClr val="274758"/>
                    </a:solidFill>
                  </a:rPr>
                  <a:pPr>
                    <a:defRPr sz="1100" b="0" i="0" u="none" strike="noStrike" kern="1200" baseline="0">
                      <a:solidFill>
                        <a:schemeClr val="bg1"/>
                      </a:solidFill>
                      <a:latin typeface="Arial Rounded MT Bold" panose="020F0704030504030204" pitchFamily="34" charset="0"/>
                      <a:ea typeface="+mn-ea"/>
                      <a:cs typeface="+mn-cs"/>
                    </a:defRPr>
                  </a:pPr>
                  <a:t>[VALUE]</a:t>
                </a:fld>
                <a:endParaRPr lang="en-US" sz="1100" baseline="0"/>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4239538547553455"/>
                  <c:h val="0.15332523683694307"/>
                </c:manualLayout>
              </c15:layout>
              <c15:dlblFieldTable/>
              <c15:showDataLabelsRange val="0"/>
            </c:ext>
          </c:extLst>
        </c:dLbl>
      </c:pivotFmt>
      <c:pivotFmt>
        <c:idx val="34"/>
        <c:spPr>
          <a:solidFill>
            <a:srgbClr val="C7E2EC"/>
          </a:solidFill>
          <a:ln w="19050">
            <a:solidFill>
              <a:schemeClr val="lt1"/>
            </a:solidFill>
          </a:ln>
          <a:effectLst/>
        </c:spPr>
        <c:dLbl>
          <c:idx val="0"/>
          <c:layout>
            <c:manualLayout>
              <c:x val="5.5014769170886053E-2"/>
              <c:y val="-3.8165076214762929E-2"/>
            </c:manualLayout>
          </c:layout>
          <c:tx>
            <c:rich>
              <a:bodyPr rot="0" spcFirstLastPara="1" vertOverflow="ellipsis" vert="horz" wrap="square" lIns="38100" tIns="19050" rIns="38100" bIns="19050" anchor="ctr" anchorCtr="1">
                <a:noAutofit/>
              </a:bodyPr>
              <a:lstStyle/>
              <a:p>
                <a:pPr>
                  <a:defRPr sz="1100" b="0" i="0" u="none" strike="noStrike" kern="1200" baseline="0">
                    <a:solidFill>
                      <a:srgbClr val="17375B"/>
                    </a:solidFill>
                    <a:latin typeface="Arial Rounded MT Bold" panose="020F0704030504030204" pitchFamily="34" charset="0"/>
                    <a:ea typeface="+mn-ea"/>
                    <a:cs typeface="+mn-cs"/>
                  </a:defRPr>
                </a:pPr>
                <a:r>
                  <a:rPr lang="en-US" sz="1100" baseline="0">
                    <a:solidFill>
                      <a:srgbClr val="17375B"/>
                    </a:solidFill>
                  </a:rPr>
                  <a:t>  </a:t>
                </a:r>
                <a:fld id="{AD67D4F2-B7B2-4994-861C-21D74FDCCD42}" type="VALUE">
                  <a:rPr lang="en-US" sz="1100" baseline="0">
                    <a:solidFill>
                      <a:srgbClr val="17375B"/>
                    </a:solidFill>
                  </a:rPr>
                  <a:pPr>
                    <a:defRPr sz="1100" b="0" i="0" u="none" strike="noStrike" kern="1200" baseline="0">
                      <a:solidFill>
                        <a:srgbClr val="17375B"/>
                      </a:solidFill>
                      <a:latin typeface="Arial Rounded MT Bold" panose="020F0704030504030204" pitchFamily="34" charset="0"/>
                      <a:ea typeface="+mn-ea"/>
                      <a:cs typeface="+mn-cs"/>
                    </a:defRPr>
                  </a:pPr>
                  <a:t>[VALUE]</a:t>
                </a:fld>
                <a:endParaRPr lang="en-US" sz="1100" baseline="0">
                  <a:solidFill>
                    <a:srgbClr val="17375B"/>
                  </a:solidFill>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6720462791769167"/>
                  <c:h val="0.14627854447688171"/>
                </c:manualLayout>
              </c15:layout>
              <c15:dlblFieldTable/>
              <c15:showDataLabelsRange val="0"/>
            </c:ext>
          </c:extLst>
        </c:dLbl>
      </c:pivotFmt>
      <c:pivotFmt>
        <c:idx val="35"/>
        <c:spPr>
          <a:solidFill>
            <a:schemeClr val="accent3"/>
          </a:solidFill>
          <a:ln w="19050">
            <a:solidFill>
              <a:schemeClr val="lt1"/>
            </a:solidFill>
          </a:ln>
          <a:effectLst/>
        </c:spPr>
        <c:dLbl>
          <c:idx val="0"/>
          <c:layout>
            <c:manualLayout>
              <c:x val="8.4262226812192434E-2"/>
              <c:y val="0.1731574460842574"/>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Arial Rounded MT Bold" panose="020F0704030504030204" pitchFamily="34" charset="0"/>
                    <a:ea typeface="+mn-ea"/>
                    <a:cs typeface="+mn-cs"/>
                  </a:defRPr>
                </a:pPr>
                <a:fld id="{9EBE92A9-3BDC-45D0-AA43-8535BFC6A55D}" type="VALUE">
                  <a:rPr lang="en-US" sz="1200" b="0" i="0" u="none" strike="noStrike" kern="1200" baseline="0">
                    <a:solidFill>
                      <a:schemeClr val="tx1"/>
                    </a:solidFill>
                    <a:latin typeface="Arial Rounded MT Bold" panose="020F0704030504030204" pitchFamily="34" charset="0"/>
                  </a:rPr>
                  <a:pPr>
                    <a:defRPr sz="1200" b="0" i="0" u="none" strike="noStrike" kern="1200" baseline="0">
                      <a:solidFill>
                        <a:schemeClr val="tx1"/>
                      </a:solidFill>
                      <a:latin typeface="Arial Rounded MT Bold" panose="020F0704030504030204" pitchFamily="34" charset="0"/>
                      <a:ea typeface="+mn-ea"/>
                      <a:cs typeface="+mn-cs"/>
                    </a:defRPr>
                  </a:pPr>
                  <a:t>[VALUE]</a:t>
                </a:fld>
                <a:r>
                  <a:rPr lang="en-US" sz="1200" b="0" i="0" u="none" strike="noStrike" kern="1200" baseline="0">
                    <a:solidFill>
                      <a:schemeClr val="tx1"/>
                    </a:solidFill>
                    <a:latin typeface="Arial Rounded MT Bold" panose="020F0704030504030204" pitchFamily="34" charset="0"/>
                  </a:rPr>
                  <a:t>     </a:t>
                </a:r>
                <a:fld id="{270FE6F4-BCC3-40BC-8015-9631444C6155}" type="CATEGORYNAME">
                  <a:rPr lang="en-US" sz="1200">
                    <a:solidFill>
                      <a:schemeClr val="tx1"/>
                    </a:solidFill>
                  </a:rPr>
                  <a:pPr>
                    <a:defRPr sz="1200" b="0" i="0" u="none" strike="noStrike" kern="1200" baseline="0">
                      <a:solidFill>
                        <a:schemeClr val="tx1"/>
                      </a:solidFill>
                      <a:latin typeface="Arial Rounded MT Bold" panose="020F0704030504030204" pitchFamily="34" charset="0"/>
                      <a:ea typeface="+mn-ea"/>
                      <a:cs typeface="+mn-cs"/>
                    </a:defRPr>
                  </a:pPr>
                  <a:t>[CATEGORY NAME]</a:t>
                </a:fld>
                <a:endParaRPr lang="en-US" sz="1200" b="0" i="0" u="none" strike="noStrike" kern="1200" baseline="0">
                  <a:solidFill>
                    <a:schemeClr val="tx1"/>
                  </a:solidFill>
                  <a:latin typeface="Arial Rounded MT Bold" panose="020F0704030504030204" pitchFamily="34" charset="0"/>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2401701916312564"/>
                  <c:h val="0.14434216447618936"/>
                </c:manualLayout>
              </c15:layout>
              <c15:dlblFieldTable/>
              <c15:showDataLabelsRange val="0"/>
            </c:ext>
          </c:extLst>
        </c:dLbl>
      </c:pivotFmt>
    </c:pivotFmts>
    <c:plotArea>
      <c:layout>
        <c:manualLayout>
          <c:layoutTarget val="inner"/>
          <c:xMode val="edge"/>
          <c:yMode val="edge"/>
          <c:x val="0.13206046141607"/>
          <c:y val="0.1875"/>
          <c:w val="0.66428003182179796"/>
          <c:h val="0.77314814814814814"/>
        </c:manualLayout>
      </c:layout>
      <c:pieChart>
        <c:varyColors val="1"/>
        <c:ser>
          <c:idx val="0"/>
          <c:order val="0"/>
          <c:tx>
            <c:strRef>
              <c:f>Dashboard_Quantity_Branch!$B$3</c:f>
              <c:strCache>
                <c:ptCount val="1"/>
                <c:pt idx="0">
                  <c:v>Total</c:v>
                </c:pt>
              </c:strCache>
            </c:strRef>
          </c:tx>
          <c:dPt>
            <c:idx val="0"/>
            <c:bubble3D val="0"/>
            <c:spPr>
              <a:solidFill>
                <a:srgbClr val="274758"/>
              </a:solidFill>
              <a:ln w="19050">
                <a:solidFill>
                  <a:schemeClr val="lt1"/>
                </a:solidFill>
              </a:ln>
              <a:effectLst/>
            </c:spPr>
            <c:extLst>
              <c:ext xmlns:c16="http://schemas.microsoft.com/office/drawing/2014/chart" uri="{C3380CC4-5D6E-409C-BE32-E72D297353CC}">
                <c16:uniqueId val="{00000011-1D3B-41CC-8F35-8865E1DB092C}"/>
              </c:ext>
            </c:extLst>
          </c:dPt>
          <c:dPt>
            <c:idx val="1"/>
            <c:bubble3D val="0"/>
            <c:spPr>
              <a:solidFill>
                <a:srgbClr val="C7E2EC"/>
              </a:solidFill>
              <a:ln w="19050">
                <a:solidFill>
                  <a:schemeClr val="lt1"/>
                </a:solidFill>
              </a:ln>
              <a:effectLst/>
            </c:spPr>
            <c:extLst>
              <c:ext xmlns:c16="http://schemas.microsoft.com/office/drawing/2014/chart" uri="{C3380CC4-5D6E-409C-BE32-E72D297353CC}">
                <c16:uniqueId val="{00000013-1D3B-41CC-8F35-8865E1DB09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1D3B-41CC-8F35-8865E1DB092C}"/>
              </c:ext>
            </c:extLst>
          </c:dPt>
          <c:dLbls>
            <c:dLbl>
              <c:idx val="0"/>
              <c:layout>
                <c:manualLayout>
                  <c:x val="-0.15107768385080364"/>
                  <c:y val="0.17071263111131615"/>
                </c:manualLayout>
              </c:layout>
              <c:tx>
                <c:rich>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Arial Rounded MT Bold" panose="020F0704030504030204" pitchFamily="34" charset="0"/>
                        <a:ea typeface="+mn-ea"/>
                        <a:cs typeface="+mn-cs"/>
                      </a:defRPr>
                    </a:pPr>
                    <a:fld id="{AF57A103-DFF6-4D4C-B4F9-6C416D40A0CC}" type="CATEGORYNAME">
                      <a:rPr lang="en-US" sz="1100"/>
                      <a:pPr>
                        <a:defRPr sz="1100" b="0" i="0" u="none" strike="noStrike" kern="1200" baseline="0">
                          <a:solidFill>
                            <a:schemeClr val="bg1"/>
                          </a:solidFill>
                          <a:latin typeface="Arial Rounded MT Bold" panose="020F0704030504030204" pitchFamily="34" charset="0"/>
                          <a:ea typeface="+mn-ea"/>
                          <a:cs typeface="+mn-cs"/>
                        </a:defRPr>
                      </a:pPr>
                      <a:t>[CATEGORY NAME]</a:t>
                    </a:fld>
                    <a:r>
                      <a:rPr lang="en-US" sz="1100" baseline="0"/>
                      <a:t>      </a:t>
                    </a:r>
                    <a:fld id="{FEC81A2D-3596-4224-8B11-EE54CF3DDDEC}" type="VALUE">
                      <a:rPr lang="en-US" sz="1100" baseline="0">
                        <a:solidFill>
                          <a:srgbClr val="274758"/>
                        </a:solidFill>
                      </a:rPr>
                      <a:pPr>
                        <a:defRPr sz="1100" b="0" i="0" u="none" strike="noStrike" kern="1200" baseline="0">
                          <a:solidFill>
                            <a:schemeClr val="bg1"/>
                          </a:solidFill>
                          <a:latin typeface="Arial Rounded MT Bold" panose="020F0704030504030204" pitchFamily="34" charset="0"/>
                          <a:ea typeface="+mn-ea"/>
                          <a:cs typeface="+mn-cs"/>
                        </a:defRPr>
                      </a:pPr>
                      <a:t>[VALUE]</a:t>
                    </a:fld>
                    <a:endParaRPr lang="en-US" sz="1100" baseline="0"/>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4239538547553455"/>
                      <c:h val="0.15332523683694307"/>
                    </c:manualLayout>
                  </c15:layout>
                  <c15:dlblFieldTable/>
                  <c15:showDataLabelsRange val="0"/>
                </c:ext>
                <c:ext xmlns:c16="http://schemas.microsoft.com/office/drawing/2014/chart" uri="{C3380CC4-5D6E-409C-BE32-E72D297353CC}">
                  <c16:uniqueId val="{00000011-1D3B-41CC-8F35-8865E1DB092C}"/>
                </c:ext>
              </c:extLst>
            </c:dLbl>
            <c:dLbl>
              <c:idx val="1"/>
              <c:layout>
                <c:manualLayout>
                  <c:x val="5.5014769170886053E-2"/>
                  <c:y val="-3.8165076214762929E-2"/>
                </c:manualLayout>
              </c:layout>
              <c:tx>
                <c:rich>
                  <a:bodyPr rot="0" spcFirstLastPara="1" vertOverflow="ellipsis" vert="horz" wrap="square" lIns="38100" tIns="19050" rIns="38100" bIns="19050" anchor="ctr" anchorCtr="1">
                    <a:noAutofit/>
                  </a:bodyPr>
                  <a:lstStyle/>
                  <a:p>
                    <a:pPr>
                      <a:defRPr sz="1100" b="0" i="0" u="none" strike="noStrike" kern="1200" baseline="0">
                        <a:solidFill>
                          <a:srgbClr val="17375B"/>
                        </a:solidFill>
                        <a:latin typeface="Arial Rounded MT Bold" panose="020F0704030504030204" pitchFamily="34" charset="0"/>
                        <a:ea typeface="+mn-ea"/>
                        <a:cs typeface="+mn-cs"/>
                      </a:defRPr>
                    </a:pPr>
                    <a:r>
                      <a:rPr lang="en-US" sz="1100" baseline="0">
                        <a:solidFill>
                          <a:srgbClr val="17375B"/>
                        </a:solidFill>
                      </a:rPr>
                      <a:t>  </a:t>
                    </a:r>
                    <a:fld id="{AD67D4F2-B7B2-4994-861C-21D74FDCCD42}" type="VALUE">
                      <a:rPr lang="en-US" sz="1100" baseline="0">
                        <a:solidFill>
                          <a:srgbClr val="17375B"/>
                        </a:solidFill>
                      </a:rPr>
                      <a:pPr>
                        <a:defRPr sz="1100" b="0" i="0" u="none" strike="noStrike" kern="1200" baseline="0">
                          <a:solidFill>
                            <a:srgbClr val="17375B"/>
                          </a:solidFill>
                          <a:latin typeface="Arial Rounded MT Bold" panose="020F0704030504030204" pitchFamily="34" charset="0"/>
                          <a:ea typeface="+mn-ea"/>
                          <a:cs typeface="+mn-cs"/>
                        </a:defRPr>
                      </a:pPr>
                      <a:t>[VALUE]</a:t>
                    </a:fld>
                    <a:endParaRPr lang="en-US" sz="1100" baseline="0">
                      <a:solidFill>
                        <a:srgbClr val="17375B"/>
                      </a:solidFill>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6720462791769167"/>
                      <c:h val="0.14627854447688171"/>
                    </c:manualLayout>
                  </c15:layout>
                  <c15:dlblFieldTable/>
                  <c15:showDataLabelsRange val="0"/>
                </c:ext>
                <c:ext xmlns:c16="http://schemas.microsoft.com/office/drawing/2014/chart" uri="{C3380CC4-5D6E-409C-BE32-E72D297353CC}">
                  <c16:uniqueId val="{00000013-1D3B-41CC-8F35-8865E1DB092C}"/>
                </c:ext>
              </c:extLst>
            </c:dLbl>
            <c:dLbl>
              <c:idx val="2"/>
              <c:layout>
                <c:manualLayout>
                  <c:x val="8.4262226812192434E-2"/>
                  <c:y val="0.1731574460842574"/>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Arial Rounded MT Bold" panose="020F0704030504030204" pitchFamily="34" charset="0"/>
                        <a:ea typeface="+mn-ea"/>
                        <a:cs typeface="+mn-cs"/>
                      </a:defRPr>
                    </a:pPr>
                    <a:fld id="{9EBE92A9-3BDC-45D0-AA43-8535BFC6A55D}" type="VALUE">
                      <a:rPr lang="en-US" sz="1200" b="0" i="0" u="none" strike="noStrike" kern="1200" baseline="0">
                        <a:solidFill>
                          <a:schemeClr val="tx1"/>
                        </a:solidFill>
                        <a:latin typeface="Arial Rounded MT Bold" panose="020F0704030504030204" pitchFamily="34" charset="0"/>
                      </a:rPr>
                      <a:pPr>
                        <a:defRPr sz="1200" b="0" i="0" u="none" strike="noStrike" kern="1200" baseline="0">
                          <a:solidFill>
                            <a:schemeClr val="tx1"/>
                          </a:solidFill>
                          <a:latin typeface="Arial Rounded MT Bold" panose="020F0704030504030204" pitchFamily="34" charset="0"/>
                          <a:ea typeface="+mn-ea"/>
                          <a:cs typeface="+mn-cs"/>
                        </a:defRPr>
                      </a:pPr>
                      <a:t>[VALUE]</a:t>
                    </a:fld>
                    <a:r>
                      <a:rPr lang="en-US" sz="1200" b="0" i="0" u="none" strike="noStrike" kern="1200" baseline="0">
                        <a:solidFill>
                          <a:schemeClr val="tx1"/>
                        </a:solidFill>
                        <a:latin typeface="Arial Rounded MT Bold" panose="020F0704030504030204" pitchFamily="34" charset="0"/>
                      </a:rPr>
                      <a:t>     </a:t>
                    </a:r>
                    <a:fld id="{270FE6F4-BCC3-40BC-8015-9631444C6155}" type="CATEGORYNAME">
                      <a:rPr lang="en-US" sz="1200">
                        <a:solidFill>
                          <a:schemeClr val="tx1"/>
                        </a:solidFill>
                      </a:rPr>
                      <a:pPr>
                        <a:defRPr sz="1200" b="0" i="0" u="none" strike="noStrike" kern="1200" baseline="0">
                          <a:solidFill>
                            <a:schemeClr val="tx1"/>
                          </a:solidFill>
                          <a:latin typeface="Arial Rounded MT Bold" panose="020F0704030504030204" pitchFamily="34" charset="0"/>
                          <a:ea typeface="+mn-ea"/>
                          <a:cs typeface="+mn-cs"/>
                        </a:defRPr>
                      </a:pPr>
                      <a:t>[CATEGORY NAME]</a:t>
                    </a:fld>
                    <a:endParaRPr lang="en-US" sz="1200" b="0" i="0" u="none" strike="noStrike" kern="1200" baseline="0">
                      <a:solidFill>
                        <a:schemeClr val="tx1"/>
                      </a:solidFill>
                      <a:latin typeface="Arial Rounded MT Bold" panose="020F0704030504030204" pitchFamily="34" charset="0"/>
                    </a:endParaRPr>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32401701916312564"/>
                      <c:h val="0.14434216447618936"/>
                    </c:manualLayout>
                  </c15:layout>
                  <c15:dlblFieldTable/>
                  <c15:showDataLabelsRange val="0"/>
                </c:ext>
                <c:ext xmlns:c16="http://schemas.microsoft.com/office/drawing/2014/chart" uri="{C3380CC4-5D6E-409C-BE32-E72D297353CC}">
                  <c16:uniqueId val="{00000015-1D3B-41CC-8F35-8865E1DB09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Dashboard_Quantity_Branch!$A$4:$A$7</c:f>
              <c:strCache>
                <c:ptCount val="3"/>
                <c:pt idx="0">
                  <c:v>A</c:v>
                </c:pt>
                <c:pt idx="1">
                  <c:v>B</c:v>
                </c:pt>
                <c:pt idx="2">
                  <c:v>C</c:v>
                </c:pt>
              </c:strCache>
            </c:strRef>
          </c:cat>
          <c:val>
            <c:numRef>
              <c:f>Dashboard_Quantity_Branch!$B$4:$B$7</c:f>
              <c:numCache>
                <c:formatCode>General</c:formatCode>
                <c:ptCount val="3"/>
                <c:pt idx="0">
                  <c:v>35</c:v>
                </c:pt>
                <c:pt idx="1">
                  <c:v>17</c:v>
                </c:pt>
                <c:pt idx="2">
                  <c:v>48</c:v>
                </c:pt>
              </c:numCache>
            </c:numRef>
          </c:val>
          <c:extLst>
            <c:ext xmlns:c16="http://schemas.microsoft.com/office/drawing/2014/chart" uri="{C3380CC4-5D6E-409C-BE32-E72D297353CC}">
              <c16:uniqueId val="{00000016-1D3B-41CC-8F35-8865E1DB092C}"/>
            </c:ext>
          </c:extLst>
        </c:ser>
        <c:dLbls>
          <c:showLegendKey val="0"/>
          <c:showVal val="1"/>
          <c:showCatName val="1"/>
          <c:showSerName val="0"/>
          <c:showPercent val="0"/>
          <c:showBubbleSize val="0"/>
          <c:showLeaderLines val="1"/>
        </c:dLbls>
        <c:firstSliceAng val="0"/>
      </c:pieChart>
    </c:plotArea>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[Dashboard.xlsx]Dashboard_Sales_Branch!PivotTable4</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Sales by Branch </a:t>
            </a:r>
            <a:r>
              <a:rPr lang="en-US" b="1"/>
              <a: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17375B"/>
            </a:solidFill>
            <a:round/>
          </a:ln>
          <a:effectLst/>
        </c:spPr>
        <c:marker>
          <c:symbol val="circle"/>
          <c:size val="5"/>
          <c:spPr>
            <a:solidFill>
              <a:srgbClr val="274758">
                <a:alpha val="55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7375B"/>
            </a:solidFill>
            <a:round/>
          </a:ln>
          <a:effectLst/>
        </c:spPr>
        <c:marker>
          <c:symbol val="circle"/>
          <c:size val="5"/>
          <c:spPr>
            <a:solidFill>
              <a:srgbClr val="274758">
                <a:alpha val="55000"/>
              </a:srgbClr>
            </a:solidFill>
            <a:ln w="9525">
              <a:solidFill>
                <a:schemeClr val="accent1"/>
              </a:solidFill>
            </a:ln>
            <a:effectLst/>
          </c:spPr>
        </c:marker>
      </c:pivotFmt>
      <c:pivotFmt>
        <c:idx val="2"/>
        <c:spPr>
          <a:solidFill>
            <a:schemeClr val="accent1"/>
          </a:solidFill>
          <a:ln w="28575" cap="rnd">
            <a:solidFill>
              <a:srgbClr val="17375B"/>
            </a:solidFill>
            <a:round/>
          </a:ln>
          <a:effectLst/>
        </c:spPr>
        <c:marker>
          <c:symbol val="circle"/>
          <c:size val="5"/>
          <c:spPr>
            <a:solidFill>
              <a:srgbClr val="274758">
                <a:alpha val="55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74758"/>
          </a:solidFill>
          <a:ln>
            <a:solidFill>
              <a:srgbClr val="17375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Dashboard_Sales_Branch!$B$3</c:f>
              <c:strCache>
                <c:ptCount val="1"/>
                <c:pt idx="0">
                  <c:v>Total</c:v>
                </c:pt>
              </c:strCache>
            </c:strRef>
          </c:tx>
          <c:spPr>
            <a:solidFill>
              <a:srgbClr val="274758"/>
            </a:solidFill>
            <a:ln>
              <a:solidFill>
                <a:srgbClr val="17375B"/>
              </a:solidFill>
            </a:ln>
            <a:effectLst/>
          </c:spPr>
          <c:invertIfNegative val="0"/>
          <c:cat>
            <c:strRef>
              <c:f>Dashboard_Sales_Branch!$A$4:$A$7</c:f>
              <c:strCache>
                <c:ptCount val="3"/>
                <c:pt idx="0">
                  <c:v>A</c:v>
                </c:pt>
                <c:pt idx="1">
                  <c:v>B</c:v>
                </c:pt>
                <c:pt idx="2">
                  <c:v>C</c:v>
                </c:pt>
              </c:strCache>
            </c:strRef>
          </c:cat>
          <c:val>
            <c:numRef>
              <c:f>Dashboard_Sales_Branch!$B$4:$B$7</c:f>
              <c:numCache>
                <c:formatCode>General</c:formatCode>
                <c:ptCount val="3"/>
                <c:pt idx="0">
                  <c:v>2586.4124999999995</c:v>
                </c:pt>
                <c:pt idx="1">
                  <c:v>1041.5055</c:v>
                </c:pt>
                <c:pt idx="2">
                  <c:v>3239.9849999999997</c:v>
                </c:pt>
              </c:numCache>
            </c:numRef>
          </c:val>
          <c:extLst>
            <c:ext xmlns:c16="http://schemas.microsoft.com/office/drawing/2014/chart" uri="{C3380CC4-5D6E-409C-BE32-E72D297353CC}">
              <c16:uniqueId val="{00000000-74FF-42DB-9B00-301BFEB23665}"/>
            </c:ext>
          </c:extLst>
        </c:ser>
        <c:dLbls>
          <c:showLegendKey val="0"/>
          <c:showVal val="0"/>
          <c:showCatName val="0"/>
          <c:showSerName val="0"/>
          <c:showPercent val="0"/>
          <c:showBubbleSize val="0"/>
        </c:dLbls>
        <c:gapWidth val="150"/>
        <c:axId val="104826127"/>
        <c:axId val="2066824175"/>
      </c:barChart>
      <c:catAx>
        <c:axId val="10482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6824175"/>
        <c:crosses val="autoZero"/>
        <c:auto val="1"/>
        <c:lblAlgn val="ctr"/>
        <c:lblOffset val="100"/>
        <c:noMultiLvlLbl val="0"/>
      </c:catAx>
      <c:valAx>
        <c:axId val="206682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4826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[Dashboard.xlsx]Branch_anl_total!Branchanl_total</c:name>
    <c:fmtId val="5"/>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latin typeface="+mn-lt"/>
              </a:rPr>
              <a:t>Total Sales of Each Branch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Branch_anl_total!$B$3</c:f>
              <c:strCache>
                <c:ptCount val="1"/>
                <c:pt idx="0">
                  <c:v>Total</c:v>
                </c:pt>
              </c:strCache>
            </c:strRef>
          </c:tx>
          <c:spPr>
            <a:solidFill>
              <a:srgbClr val="274758"/>
            </a:solidFill>
            <a:ln>
              <a:noFill/>
            </a:ln>
            <a:effectLst/>
          </c:spPr>
          <c:invertIfNegative val="0"/>
          <c:cat>
            <c:strRef>
              <c:f>Branch_anl_total!$A$4:$A$7</c:f>
              <c:strCache>
                <c:ptCount val="3"/>
                <c:pt idx="0">
                  <c:v>A</c:v>
                </c:pt>
                <c:pt idx="1">
                  <c:v>B</c:v>
                </c:pt>
                <c:pt idx="2">
                  <c:v>C</c:v>
                </c:pt>
              </c:strCache>
            </c:strRef>
          </c:cat>
          <c:val>
            <c:numRef>
              <c:f>Branch_anl_total!$B$4:$B$7</c:f>
              <c:numCache>
                <c:formatCode>General</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3E37-404E-BB4F-8BA2B6C2AD7B}"/>
            </c:ext>
          </c:extLst>
        </c:ser>
        <c:dLbls>
          <c:showLegendKey val="0"/>
          <c:showVal val="0"/>
          <c:showCatName val="0"/>
          <c:showSerName val="0"/>
          <c:showPercent val="0"/>
          <c:showBubbleSize val="0"/>
        </c:dLbls>
        <c:gapWidth val="150"/>
        <c:axId val="712690208"/>
        <c:axId val="2141710895"/>
      </c:barChart>
      <c:catAx>
        <c:axId val="71269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41710895"/>
        <c:crosses val="autoZero"/>
        <c:auto val="1"/>
        <c:lblAlgn val="ctr"/>
        <c:lblOffset val="100"/>
        <c:noMultiLvlLbl val="0"/>
      </c:catAx>
      <c:valAx>
        <c:axId val="214171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12690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95000"/>
                    <a:lumOff val="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[Dashboard.xlsx]Branch_anal_quantitusold!PivotTable7</c:name>
    <c:fmtId val="5"/>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t>Total Quantity Sold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Branch_anal_quantitusold!$B$3</c:f>
              <c:strCache>
                <c:ptCount val="1"/>
                <c:pt idx="0">
                  <c:v>Total</c:v>
                </c:pt>
              </c:strCache>
            </c:strRef>
          </c:tx>
          <c:spPr>
            <a:solidFill>
              <a:srgbClr val="274758"/>
            </a:solidFill>
            <a:ln>
              <a:noFill/>
            </a:ln>
            <a:effectLst/>
          </c:spPr>
          <c:invertIfNegative val="0"/>
          <c:cat>
            <c:strRef>
              <c:f>Branch_anal_quantitusold!$A$4:$A$7</c:f>
              <c:strCache>
                <c:ptCount val="3"/>
                <c:pt idx="0">
                  <c:v>A</c:v>
                </c:pt>
                <c:pt idx="1">
                  <c:v>B</c:v>
                </c:pt>
                <c:pt idx="2">
                  <c:v>C</c:v>
                </c:pt>
              </c:strCache>
            </c:strRef>
          </c:cat>
          <c:val>
            <c:numRef>
              <c:f>Branch_anal_quantitusold!$B$4:$B$7</c:f>
              <c:numCache>
                <c:formatCode>General</c:formatCode>
                <c:ptCount val="3"/>
                <c:pt idx="0">
                  <c:v>1859</c:v>
                </c:pt>
                <c:pt idx="1">
                  <c:v>1820</c:v>
                </c:pt>
                <c:pt idx="2">
                  <c:v>1831</c:v>
                </c:pt>
              </c:numCache>
            </c:numRef>
          </c:val>
          <c:extLst>
            <c:ext xmlns:c16="http://schemas.microsoft.com/office/drawing/2014/chart" uri="{C3380CC4-5D6E-409C-BE32-E72D297353CC}">
              <c16:uniqueId val="{00000000-1A8D-447A-B989-98DD420C6331}"/>
            </c:ext>
          </c:extLst>
        </c:ser>
        <c:dLbls>
          <c:showLegendKey val="0"/>
          <c:showVal val="0"/>
          <c:showCatName val="0"/>
          <c:showSerName val="0"/>
          <c:showPercent val="0"/>
          <c:showBubbleSize val="0"/>
        </c:dLbls>
        <c:gapWidth val="150"/>
        <c:axId val="712899472"/>
        <c:axId val="2141726735"/>
      </c:barChart>
      <c:catAx>
        <c:axId val="71289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41726735"/>
        <c:crosses val="autoZero"/>
        <c:auto val="1"/>
        <c:lblAlgn val="ctr"/>
        <c:lblOffset val="100"/>
        <c:noMultiLvlLbl val="0"/>
      </c:catAx>
      <c:valAx>
        <c:axId val="214172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12899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95000"/>
                    <a:lumOff val="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[Dashboard.xlsx]Branch_anal_rating!PivotTable9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Average Ratings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Branch_anal_rating!$B$3</c:f>
              <c:strCache>
                <c:ptCount val="1"/>
                <c:pt idx="0">
                  <c:v>Total</c:v>
                </c:pt>
              </c:strCache>
            </c:strRef>
          </c:tx>
          <c:spPr>
            <a:solidFill>
              <a:srgbClr val="2747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Branch_anal_rating!$A$4:$A$7</c:f>
              <c:strCache>
                <c:ptCount val="3"/>
                <c:pt idx="0">
                  <c:v>A</c:v>
                </c:pt>
                <c:pt idx="1">
                  <c:v>B</c:v>
                </c:pt>
                <c:pt idx="2">
                  <c:v>C</c:v>
                </c:pt>
              </c:strCache>
            </c:strRef>
          </c:cat>
          <c:val>
            <c:numRef>
              <c:f>Branch_anal_rating!$B$4:$B$7</c:f>
              <c:numCache>
                <c:formatCode>General</c:formatCode>
                <c:ptCount val="3"/>
                <c:pt idx="0">
                  <c:v>7.0270588235294129</c:v>
                </c:pt>
                <c:pt idx="1">
                  <c:v>6.8180722891566266</c:v>
                </c:pt>
                <c:pt idx="2">
                  <c:v>7.0728658536585378</c:v>
                </c:pt>
              </c:numCache>
            </c:numRef>
          </c:val>
          <c:extLst>
            <c:ext xmlns:c16="http://schemas.microsoft.com/office/drawing/2014/chart" uri="{C3380CC4-5D6E-409C-BE32-E72D297353CC}">
              <c16:uniqueId val="{00000000-93F2-4C14-AE9E-B98E8D46BBF7}"/>
            </c:ext>
          </c:extLst>
        </c:ser>
        <c:dLbls>
          <c:showLegendKey val="0"/>
          <c:showVal val="1"/>
          <c:showCatName val="0"/>
          <c:showSerName val="0"/>
          <c:showPercent val="0"/>
          <c:showBubbleSize val="0"/>
        </c:dLbls>
        <c:gapWidth val="150"/>
        <c:overlap val="-25"/>
        <c:axId val="638972400"/>
        <c:axId val="448971824"/>
      </c:barChart>
      <c:catAx>
        <c:axId val="63897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971824"/>
        <c:crosses val="autoZero"/>
        <c:auto val="1"/>
        <c:lblAlgn val="ctr"/>
        <c:lblOffset val="100"/>
        <c:noMultiLvlLbl val="0"/>
      </c:catAx>
      <c:valAx>
        <c:axId val="448971824"/>
        <c:scaling>
          <c:orientation val="minMax"/>
        </c:scaling>
        <c:delete val="1"/>
        <c:axPos val="l"/>
        <c:numFmt formatCode="General" sourceLinked="1"/>
        <c:majorTickMark val="none"/>
        <c:minorTickMark val="none"/>
        <c:tickLblPos val="nextTo"/>
        <c:crossAx val="63897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[Dashboard.xlsx]Branch_anal_unitpric!PivotTable26</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Difference by Unit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Branch_anal_unitpric!$B$3</c:f>
              <c:strCache>
                <c:ptCount val="1"/>
                <c:pt idx="0">
                  <c:v>Total</c:v>
                </c:pt>
              </c:strCache>
            </c:strRef>
          </c:tx>
          <c:spPr>
            <a:solidFill>
              <a:srgbClr val="274758"/>
            </a:solidFill>
            <a:ln>
              <a:noFill/>
            </a:ln>
            <a:effectLst/>
          </c:spPr>
          <c:invertIfNegative val="0"/>
          <c:cat>
            <c:strRef>
              <c:f>Branch_anal_unitpric!$A$4:$A$7</c:f>
              <c:strCache>
                <c:ptCount val="3"/>
                <c:pt idx="0">
                  <c:v>A</c:v>
                </c:pt>
                <c:pt idx="1">
                  <c:v>B</c:v>
                </c:pt>
                <c:pt idx="2">
                  <c:v>C</c:v>
                </c:pt>
              </c:strCache>
            </c:strRef>
          </c:cat>
          <c:val>
            <c:numRef>
              <c:f>Branch_anal_unitpric!$B$4:$B$7</c:f>
              <c:numCache>
                <c:formatCode>General</c:formatCode>
                <c:ptCount val="3"/>
                <c:pt idx="0">
                  <c:v>18625.489999999998</c:v>
                </c:pt>
                <c:pt idx="1">
                  <c:v>18478.88</c:v>
                </c:pt>
                <c:pt idx="2">
                  <c:v>18567.759999999998</c:v>
                </c:pt>
              </c:numCache>
            </c:numRef>
          </c:val>
          <c:extLst>
            <c:ext xmlns:c16="http://schemas.microsoft.com/office/drawing/2014/chart" uri="{C3380CC4-5D6E-409C-BE32-E72D297353CC}">
              <c16:uniqueId val="{00000000-F437-4C53-B7C6-85C75C1B1152}"/>
            </c:ext>
          </c:extLst>
        </c:ser>
        <c:dLbls>
          <c:showLegendKey val="0"/>
          <c:showVal val="0"/>
          <c:showCatName val="0"/>
          <c:showSerName val="0"/>
          <c:showPercent val="0"/>
          <c:showBubbleSize val="0"/>
        </c:dLbls>
        <c:gapWidth val="182"/>
        <c:axId val="797640192"/>
        <c:axId val="715099952"/>
      </c:barChart>
      <c:catAx>
        <c:axId val="79764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099952"/>
        <c:crosses val="autoZero"/>
        <c:auto val="1"/>
        <c:lblAlgn val="ctr"/>
        <c:lblOffset val="100"/>
        <c:noMultiLvlLbl val="0"/>
      </c:catAx>
      <c:valAx>
        <c:axId val="715099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764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Total Sales per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pivotFmt>
      <c:pivotFmt>
        <c:idx val="1"/>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2747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Electronic accessories</c:v>
              </c:pt>
              <c:pt idx="1">
                <c:v>Fashion accessories</c:v>
              </c:pt>
              <c:pt idx="2">
                <c:v>Food and beverages</c:v>
              </c:pt>
              <c:pt idx="3">
                <c:v>Health and beauty</c:v>
              </c:pt>
              <c:pt idx="4">
                <c:v>Home and lifestyle</c:v>
              </c:pt>
              <c:pt idx="5">
                <c:v>Sports and travel</c:v>
              </c:pt>
            </c:strLit>
          </c:cat>
          <c:val>
            <c:numLit>
              <c:formatCode>General</c:formatCode>
              <c:ptCount val="6"/>
              <c:pt idx="0">
                <c:v>54337.531500000005</c:v>
              </c:pt>
              <c:pt idx="1">
                <c:v>54305.894999999997</c:v>
              </c:pt>
              <c:pt idx="2">
                <c:v>56144.844000000005</c:v>
              </c:pt>
              <c:pt idx="3">
                <c:v>49193.739000000016</c:v>
              </c:pt>
              <c:pt idx="4">
                <c:v>53861.913000000008</c:v>
              </c:pt>
              <c:pt idx="5">
                <c:v>55122.826499999996</c:v>
              </c:pt>
            </c:numLit>
          </c:val>
          <c:extLst>
            <c:ext xmlns:c16="http://schemas.microsoft.com/office/drawing/2014/chart" uri="{C3380CC4-5D6E-409C-BE32-E72D297353CC}">
              <c16:uniqueId val="{00000000-9025-43BA-8FD9-4E1ED515968E}"/>
            </c:ext>
          </c:extLst>
        </c:ser>
        <c:dLbls>
          <c:showLegendKey val="0"/>
          <c:showVal val="1"/>
          <c:showCatName val="0"/>
          <c:showSerName val="0"/>
          <c:showPercent val="0"/>
          <c:showBubbleSize val="0"/>
        </c:dLbls>
        <c:gapWidth val="150"/>
        <c:overlap val="-25"/>
        <c:axId val="638975184"/>
        <c:axId val="715096592"/>
      </c:barChart>
      <c:catAx>
        <c:axId val="63897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096592"/>
        <c:crosses val="autoZero"/>
        <c:auto val="1"/>
        <c:lblAlgn val="ctr"/>
        <c:lblOffset val="100"/>
        <c:noMultiLvlLbl val="0"/>
      </c:catAx>
      <c:valAx>
        <c:axId val="715096592"/>
        <c:scaling>
          <c:orientation val="minMax"/>
        </c:scaling>
        <c:delete val="1"/>
        <c:axPos val="b"/>
        <c:numFmt formatCode="General" sourceLinked="1"/>
        <c:majorTickMark val="none"/>
        <c:minorTickMark val="none"/>
        <c:tickLblPos val="nextTo"/>
        <c:crossAx val="63897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[Dashboard.xlsx]Product_line_quantity!PivotTable20</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Total Quantity Sold</a:t>
            </a:r>
          </a:p>
        </c:rich>
      </c:tx>
      <c:overlay val="0"/>
      <c:spPr>
        <a:noFill/>
        <a:ln>
          <a:noFill/>
        </a:ln>
        <a:effectLst/>
      </c:spPr>
    </c:title>
    <c:autoTitleDeleted val="0"/>
    <c:pivotFmts>
      <c:pivotFmt>
        <c:idx val="0"/>
        <c:spPr>
          <a:solidFill>
            <a:srgbClr val="274758"/>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274758"/>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274758"/>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274758"/>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Product_line_quantity!$B$3</c:f>
              <c:strCache>
                <c:ptCount val="1"/>
                <c:pt idx="0">
                  <c:v>Total</c:v>
                </c:pt>
              </c:strCache>
            </c:strRef>
          </c:tx>
          <c:spPr>
            <a:solidFill>
              <a:srgbClr val="274758"/>
            </a:solidFill>
            <a:ln>
              <a:noFill/>
            </a:ln>
            <a:effectLst/>
          </c:spPr>
          <c:invertIfNegative val="0"/>
          <c:cat>
            <c:strRef>
              <c:f>Product_line_quantity!$A$4:$A$10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Product_line_quantity!$B$4:$B$10</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2-22FC-41DC-BD86-85328C80B182}"/>
            </c:ext>
          </c:extLst>
        </c:ser>
        <c:dLbls>
          <c:showLegendKey val="0"/>
          <c:showVal val="0"/>
          <c:showCatName val="0"/>
          <c:showSerName val="0"/>
          <c:showPercent val="0"/>
          <c:showBubbleSize val="0"/>
        </c:dLbls>
        <c:gapWidth val="219"/>
        <c:overlap val="-27"/>
        <c:axId val="712872096"/>
        <c:axId val="715112912"/>
      </c:barChart>
      <c:catAx>
        <c:axId val="71287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112912"/>
        <c:crosses val="autoZero"/>
        <c:auto val="1"/>
        <c:lblAlgn val="ctr"/>
        <c:lblOffset val="100"/>
        <c:noMultiLvlLbl val="0"/>
      </c:catAx>
      <c:valAx>
        <c:axId val="71511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2872096"/>
        <c:crosses val="autoZero"/>
        <c:crossBetween val="between"/>
      </c:valAx>
    </c:plotArea>
    <c:plotVisOnly val="1"/>
    <c:dispBlanksAs val="gap"/>
    <c:showDLblsOverMax val="0"/>
    <c:extLst/>
  </c:chart>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[Dashboard.xlsx]Product_line_gross!PivotTable21</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Gross income</a:t>
            </a:r>
          </a:p>
        </c:rich>
      </c:tx>
      <c:overlay val="0"/>
      <c:spPr>
        <a:noFill/>
        <a:ln>
          <a:noFill/>
        </a:ln>
        <a:effectLst/>
      </c:spPr>
    </c:title>
    <c:autoTitleDeleted val="0"/>
    <c:pivotFmts>
      <c:pivotFmt>
        <c:idx val="0"/>
        <c:spPr>
          <a:solidFill>
            <a:srgbClr val="274758"/>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274758"/>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274758"/>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274758"/>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Product_line_gross!$B$3</c:f>
              <c:strCache>
                <c:ptCount val="1"/>
                <c:pt idx="0">
                  <c:v>Total</c:v>
                </c:pt>
              </c:strCache>
            </c:strRef>
          </c:tx>
          <c:spPr>
            <a:solidFill>
              <a:srgbClr val="274758"/>
            </a:solidFill>
            <a:ln>
              <a:noFill/>
            </a:ln>
            <a:effectLst/>
          </c:spPr>
          <c:invertIfNegative val="0"/>
          <c:cat>
            <c:strRef>
              <c:f>Product_line_gross!$A$4:$A$10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Product_line_gross!$B$4:$B$10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2-076A-4A36-AA84-02CF8E781ADA}"/>
            </c:ext>
          </c:extLst>
        </c:ser>
        <c:dLbls>
          <c:showLegendKey val="0"/>
          <c:showVal val="0"/>
          <c:showCatName val="0"/>
          <c:showSerName val="0"/>
          <c:showPercent val="0"/>
          <c:showBubbleSize val="0"/>
        </c:dLbls>
        <c:gapWidth val="219"/>
        <c:overlap val="-27"/>
        <c:axId val="560279840"/>
        <c:axId val="715054352"/>
      </c:barChart>
      <c:catAx>
        <c:axId val="56027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054352"/>
        <c:crosses val="autoZero"/>
        <c:auto val="1"/>
        <c:lblAlgn val="ctr"/>
        <c:lblOffset val="100"/>
        <c:noMultiLvlLbl val="0"/>
      </c:catAx>
      <c:valAx>
        <c:axId val="71505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0279840"/>
        <c:crosses val="autoZero"/>
        <c:crossBetween val="between"/>
      </c:valAx>
    </c:plotArea>
    <c:plotVisOnly val="1"/>
    <c:dispBlanksAs val="gap"/>
    <c:showDLblsOverMax val="0"/>
    <c:extLst/>
  </c:chart>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[Dashboard.xlsx]Product_anyl_unitprice!PivotTable27</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Per Unit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Product_anyl_unitprice!$B$3</c:f>
              <c:strCache>
                <c:ptCount val="1"/>
                <c:pt idx="0">
                  <c:v>Total</c:v>
                </c:pt>
              </c:strCache>
            </c:strRef>
          </c:tx>
          <c:spPr>
            <a:solidFill>
              <a:srgbClr val="274758"/>
            </a:solidFill>
            <a:ln>
              <a:noFill/>
            </a:ln>
            <a:effectLst/>
          </c:spPr>
          <c:invertIfNegative val="0"/>
          <c:cat>
            <c:strRef>
              <c:f>Product_anyl_unitprice!$A$4:$A$10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Product_anyl_unitprice!$B$4:$B$10</c:f>
              <c:numCache>
                <c:formatCode>General</c:formatCode>
                <c:ptCount val="6"/>
                <c:pt idx="0">
                  <c:v>9103.7700000000059</c:v>
                </c:pt>
                <c:pt idx="1">
                  <c:v>10173.349999999997</c:v>
                </c:pt>
                <c:pt idx="2">
                  <c:v>9745.5400000000063</c:v>
                </c:pt>
                <c:pt idx="3">
                  <c:v>8337.880000000001</c:v>
                </c:pt>
                <c:pt idx="4">
                  <c:v>8850.7099999999955</c:v>
                </c:pt>
                <c:pt idx="5">
                  <c:v>9460.8799999999956</c:v>
                </c:pt>
              </c:numCache>
            </c:numRef>
          </c:val>
          <c:extLst>
            <c:ext xmlns:c16="http://schemas.microsoft.com/office/drawing/2014/chart" uri="{C3380CC4-5D6E-409C-BE32-E72D297353CC}">
              <c16:uniqueId val="{00000000-54B5-44C6-BF50-675892B80F79}"/>
            </c:ext>
          </c:extLst>
        </c:ser>
        <c:dLbls>
          <c:showLegendKey val="0"/>
          <c:showVal val="0"/>
          <c:showCatName val="0"/>
          <c:showSerName val="0"/>
          <c:showPercent val="0"/>
          <c:showBubbleSize val="0"/>
        </c:dLbls>
        <c:gapWidth val="150"/>
        <c:axId val="560279840"/>
        <c:axId val="715054352"/>
      </c:barChart>
      <c:catAx>
        <c:axId val="56027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054352"/>
        <c:crosses val="autoZero"/>
        <c:auto val="1"/>
        <c:lblAlgn val="ctr"/>
        <c:lblOffset val="100"/>
        <c:noMultiLvlLbl val="0"/>
      </c:catAx>
      <c:valAx>
        <c:axId val="71505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02798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[Dashboard.xlsx]Customer_analysis_sales!PivotTable23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Total Sales by the Customer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17375B"/>
            </a:solidFill>
            <a:round/>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17375B"/>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274758"/>
          </a:solidFill>
          <a:ln>
            <a:solidFill>
              <a:srgbClr val="17375B"/>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Customer_analysis_sales!$B$3</c:f>
              <c:strCache>
                <c:ptCount val="1"/>
                <c:pt idx="0">
                  <c:v>Total</c:v>
                </c:pt>
              </c:strCache>
            </c:strRef>
          </c:tx>
          <c:spPr>
            <a:solidFill>
              <a:srgbClr val="274758"/>
            </a:solidFill>
            <a:ln>
              <a:solidFill>
                <a:srgbClr val="17375B"/>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Customer_analysis_sales!$A$4:$A$13</c:f>
              <c:multiLvlStrCache>
                <c:ptCount val="6"/>
                <c:lvl>
                  <c:pt idx="0">
                    <c:v>Member</c:v>
                  </c:pt>
                  <c:pt idx="1">
                    <c:v>Normal</c:v>
                  </c:pt>
                  <c:pt idx="2">
                    <c:v>Member</c:v>
                  </c:pt>
                  <c:pt idx="3">
                    <c:v>Normal</c:v>
                  </c:pt>
                  <c:pt idx="4">
                    <c:v>Member</c:v>
                  </c:pt>
                  <c:pt idx="5">
                    <c:v>Normal</c:v>
                  </c:pt>
                </c:lvl>
                <c:lvl>
                  <c:pt idx="0">
                    <c:v>A</c:v>
                  </c:pt>
                  <c:pt idx="2">
                    <c:v>B</c:v>
                  </c:pt>
                  <c:pt idx="4">
                    <c:v>C</c:v>
                  </c:pt>
                </c:lvl>
              </c:multiLvlStrCache>
            </c:multiLvlStrRef>
          </c:cat>
          <c:val>
            <c:numRef>
              <c:f>Customer_analysis_sales!$B$4:$B$13</c:f>
              <c:numCache>
                <c:formatCode>General</c:formatCode>
                <c:ptCount val="6"/>
                <c:pt idx="0">
                  <c:v>53637.475499999993</c:v>
                </c:pt>
                <c:pt idx="1">
                  <c:v>52562.894999999975</c:v>
                </c:pt>
                <c:pt idx="2">
                  <c:v>53704.686000000009</c:v>
                </c:pt>
                <c:pt idx="3">
                  <c:v>52492.986000000034</c:v>
                </c:pt>
                <c:pt idx="4">
                  <c:v>56881.282500000016</c:v>
                </c:pt>
                <c:pt idx="5">
                  <c:v>53687.42399999997</c:v>
                </c:pt>
              </c:numCache>
            </c:numRef>
          </c:val>
          <c:extLst>
            <c:ext xmlns:c16="http://schemas.microsoft.com/office/drawing/2014/chart" uri="{C3380CC4-5D6E-409C-BE32-E72D297353CC}">
              <c16:uniqueId val="{00000000-9584-491E-B72C-031B9DEA515D}"/>
            </c:ext>
          </c:extLst>
        </c:ser>
        <c:dLbls>
          <c:showLegendKey val="0"/>
          <c:showVal val="1"/>
          <c:showCatName val="0"/>
          <c:showSerName val="0"/>
          <c:showPercent val="0"/>
          <c:showBubbleSize val="0"/>
        </c:dLbls>
        <c:gapWidth val="150"/>
        <c:overlap val="-25"/>
        <c:axId val="715347088"/>
        <c:axId val="715103792"/>
      </c:barChart>
      <c:catAx>
        <c:axId val="71534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103792"/>
        <c:crosses val="autoZero"/>
        <c:auto val="1"/>
        <c:lblAlgn val="ctr"/>
        <c:lblOffset val="100"/>
        <c:noMultiLvlLbl val="0"/>
      </c:catAx>
      <c:valAx>
        <c:axId val="715103792"/>
        <c:scaling>
          <c:orientation val="minMax"/>
        </c:scaling>
        <c:delete val="1"/>
        <c:axPos val="l"/>
        <c:numFmt formatCode="General" sourceLinked="1"/>
        <c:majorTickMark val="none"/>
        <c:minorTickMark val="none"/>
        <c:tickLblPos val="nextTo"/>
        <c:crossAx val="71534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[Dashboard.xlsx]Customer_anal_quantity!PivotTable28</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Total Quantity sold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Customer_anal_quantity!$B$3</c:f>
              <c:strCache>
                <c:ptCount val="1"/>
                <c:pt idx="0">
                  <c:v>Total</c:v>
                </c:pt>
              </c:strCache>
            </c:strRef>
          </c:tx>
          <c:spPr>
            <a:solidFill>
              <a:srgbClr val="2747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Customer_anal_quantity!$A$4:$A$13</c:f>
              <c:multiLvlStrCache>
                <c:ptCount val="6"/>
                <c:lvl>
                  <c:pt idx="0">
                    <c:v>Member</c:v>
                  </c:pt>
                  <c:pt idx="1">
                    <c:v>Normal</c:v>
                  </c:pt>
                  <c:pt idx="2">
                    <c:v>Member</c:v>
                  </c:pt>
                  <c:pt idx="3">
                    <c:v>Normal</c:v>
                  </c:pt>
                  <c:pt idx="4">
                    <c:v>Member</c:v>
                  </c:pt>
                  <c:pt idx="5">
                    <c:v>Normal</c:v>
                  </c:pt>
                </c:lvl>
                <c:lvl>
                  <c:pt idx="0">
                    <c:v>A</c:v>
                  </c:pt>
                  <c:pt idx="2">
                    <c:v>B</c:v>
                  </c:pt>
                  <c:pt idx="4">
                    <c:v>C</c:v>
                  </c:pt>
                </c:lvl>
              </c:multiLvlStrCache>
            </c:multiLvlStrRef>
          </c:cat>
          <c:val>
            <c:numRef>
              <c:f>Customer_anal_quantity!$B$4:$B$13</c:f>
              <c:numCache>
                <c:formatCode>General</c:formatCode>
                <c:ptCount val="6"/>
                <c:pt idx="0">
                  <c:v>964</c:v>
                </c:pt>
                <c:pt idx="1">
                  <c:v>895</c:v>
                </c:pt>
                <c:pt idx="2">
                  <c:v>924</c:v>
                </c:pt>
                <c:pt idx="3">
                  <c:v>896</c:v>
                </c:pt>
                <c:pt idx="4">
                  <c:v>897</c:v>
                </c:pt>
                <c:pt idx="5">
                  <c:v>934</c:v>
                </c:pt>
              </c:numCache>
            </c:numRef>
          </c:val>
          <c:extLst>
            <c:ext xmlns:c16="http://schemas.microsoft.com/office/drawing/2014/chart" uri="{C3380CC4-5D6E-409C-BE32-E72D297353CC}">
              <c16:uniqueId val="{00000000-F65C-406B-8EF2-EC6F0DB2DEF3}"/>
            </c:ext>
          </c:extLst>
        </c:ser>
        <c:dLbls>
          <c:showLegendKey val="0"/>
          <c:showVal val="1"/>
          <c:showCatName val="0"/>
          <c:showSerName val="0"/>
          <c:showPercent val="0"/>
          <c:showBubbleSize val="0"/>
        </c:dLbls>
        <c:gapWidth val="150"/>
        <c:overlap val="-25"/>
        <c:axId val="696965296"/>
        <c:axId val="448972304"/>
      </c:barChart>
      <c:catAx>
        <c:axId val="69696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8972304"/>
        <c:crosses val="autoZero"/>
        <c:auto val="1"/>
        <c:lblAlgn val="ctr"/>
        <c:lblOffset val="100"/>
        <c:noMultiLvlLbl val="0"/>
      </c:catAx>
      <c:valAx>
        <c:axId val="448972304"/>
        <c:scaling>
          <c:orientation val="minMax"/>
        </c:scaling>
        <c:delete val="1"/>
        <c:axPos val="l"/>
        <c:numFmt formatCode="General" sourceLinked="1"/>
        <c:majorTickMark val="none"/>
        <c:minorTickMark val="none"/>
        <c:tickLblPos val="nextTo"/>
        <c:crossAx val="69696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[Dashboard.xlsx]Deeper_analysis_sales!PivotTable6</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Sales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34149"/>
            </a:solidFill>
            <a:round/>
          </a:ln>
          <a:effectLst/>
        </c:spPr>
        <c:marker>
          <c:symbol val="none"/>
        </c:marker>
      </c:pivotFmt>
      <c:pivotFmt>
        <c:idx val="5"/>
        <c:spPr>
          <a:ln w="28575" cap="rnd">
            <a:solidFill>
              <a:srgbClr val="034149"/>
            </a:solidFill>
            <a:round/>
          </a:ln>
          <a:effectLst/>
        </c:spPr>
        <c:marker>
          <c:symbol val="none"/>
        </c:marker>
      </c:pivotFmt>
    </c:pivotFmts>
    <c:plotArea>
      <c:layout/>
      <c:lineChart>
        <c:grouping val="stacked"/>
        <c:varyColors val="0"/>
        <c:ser>
          <c:idx val="0"/>
          <c:order val="0"/>
          <c:tx>
            <c:strRef>
              <c:f>Deeper_analysis_sales!$B$3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rgbClr val="034149"/>
                </a:solidFill>
                <a:round/>
              </a:ln>
              <a:effectLst/>
            </c:spPr>
            <c:extLst>
              <c:ext xmlns:c16="http://schemas.microsoft.com/office/drawing/2014/chart" uri="{C3380CC4-5D6E-409C-BE32-E72D297353CC}">
                <c16:uniqueId val="{00000001-EB64-443C-BBA9-EE599DD8DFE8}"/>
              </c:ext>
            </c:extLst>
          </c:dPt>
          <c:dPt>
            <c:idx val="2"/>
            <c:marker>
              <c:symbol val="none"/>
            </c:marker>
            <c:bubble3D val="0"/>
            <c:spPr>
              <a:ln w="28575" cap="rnd">
                <a:solidFill>
                  <a:srgbClr val="034149"/>
                </a:solidFill>
                <a:round/>
              </a:ln>
              <a:effectLst/>
            </c:spPr>
            <c:extLst>
              <c:ext xmlns:c16="http://schemas.microsoft.com/office/drawing/2014/chart" uri="{C3380CC4-5D6E-409C-BE32-E72D297353CC}">
                <c16:uniqueId val="{00000002-EB64-443C-BBA9-EE599DD8DFE8}"/>
              </c:ext>
            </c:extLst>
          </c:dPt>
          <c:cat>
            <c:strRef>
              <c:f>Deeper_analysis_sales!$A$4:$A$6</c:f>
              <c:strCache>
                <c:ptCount val="3"/>
                <c:pt idx="0">
                  <c:v>Jan</c:v>
                </c:pt>
                <c:pt idx="1">
                  <c:v>Feb</c:v>
                </c:pt>
                <c:pt idx="2">
                  <c:v>Mar</c:v>
                </c:pt>
              </c:strCache>
            </c:strRef>
          </c:cat>
          <c:val>
            <c:numRef>
              <c:f>Deeper_analysis_sales!$B$4:$B$6</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EB64-443C-BBA9-EE599DD8DFE8}"/>
            </c:ext>
          </c:extLst>
        </c:ser>
        <c:dLbls>
          <c:showLegendKey val="0"/>
          <c:showVal val="0"/>
          <c:showCatName val="0"/>
          <c:showSerName val="0"/>
          <c:showPercent val="0"/>
          <c:showBubbleSize val="0"/>
        </c:dLbls>
        <c:smooth val="0"/>
        <c:axId val="1715918640"/>
        <c:axId val="1176636432"/>
      </c:lineChart>
      <c:catAx>
        <c:axId val="171591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6636432"/>
        <c:crosses val="autoZero"/>
        <c:auto val="1"/>
        <c:lblAlgn val="ctr"/>
        <c:lblOffset val="100"/>
        <c:noMultiLvlLbl val="0"/>
      </c:catAx>
      <c:valAx>
        <c:axId val="117663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5918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[Dashboard.xlsx]Deeper_analysis_total!PivotTable1</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Sales</a:t>
            </a:r>
            <a:r>
              <a:rPr lang="en-US" b="1" baseline="0"/>
              <a:t> by Branches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Deeper_analysis_total!$B$3</c:f>
              <c:strCache>
                <c:ptCount val="1"/>
                <c:pt idx="0">
                  <c:v>Total</c:v>
                </c:pt>
              </c:strCache>
            </c:strRef>
          </c:tx>
          <c:spPr>
            <a:solidFill>
              <a:srgbClr val="274758"/>
            </a:solidFill>
            <a:ln>
              <a:noFill/>
            </a:ln>
            <a:effectLst/>
          </c:spPr>
          <c:invertIfNegative val="0"/>
          <c:cat>
            <c:strRef>
              <c:f>Deeper_analysis_total!$A$4:$A$7</c:f>
              <c:strCache>
                <c:ptCount val="3"/>
                <c:pt idx="0">
                  <c:v>A</c:v>
                </c:pt>
                <c:pt idx="1">
                  <c:v>B</c:v>
                </c:pt>
                <c:pt idx="2">
                  <c:v>C</c:v>
                </c:pt>
              </c:strCache>
            </c:strRef>
          </c:cat>
          <c:val>
            <c:numRef>
              <c:f>Deeper_analysis_total!$B$4:$B$7</c:f>
              <c:numCache>
                <c:formatCode>General</c:formatCode>
                <c:ptCount val="3"/>
                <c:pt idx="0">
                  <c:v>37659.121500000016</c:v>
                </c:pt>
                <c:pt idx="1">
                  <c:v>34597.342499999992</c:v>
                </c:pt>
                <c:pt idx="2">
                  <c:v>37199.042999999991</c:v>
                </c:pt>
              </c:numCache>
            </c:numRef>
          </c:val>
          <c:extLst>
            <c:ext xmlns:c16="http://schemas.microsoft.com/office/drawing/2014/chart" uri="{C3380CC4-5D6E-409C-BE32-E72D297353CC}">
              <c16:uniqueId val="{00000000-C28D-4D74-B541-AFB2FC5C429E}"/>
            </c:ext>
          </c:extLst>
        </c:ser>
        <c:dLbls>
          <c:showLegendKey val="0"/>
          <c:showVal val="0"/>
          <c:showCatName val="0"/>
          <c:showSerName val="0"/>
          <c:showPercent val="0"/>
          <c:showBubbleSize val="0"/>
        </c:dLbls>
        <c:gapWidth val="219"/>
        <c:overlap val="-27"/>
        <c:axId val="1707508160"/>
        <c:axId val="1645720816"/>
      </c:barChart>
      <c:catAx>
        <c:axId val="170750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45720816"/>
        <c:crosses val="autoZero"/>
        <c:auto val="1"/>
        <c:lblAlgn val="ctr"/>
        <c:lblOffset val="100"/>
        <c:noMultiLvlLbl val="0"/>
      </c:catAx>
      <c:valAx>
        <c:axId val="164572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750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[Dashboard.xlsx]Deeper_ana_quantity!PivotTable10</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74758"/>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7E2EC"/>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7E2EC"/>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274758"/>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7E2EC"/>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7E2EC"/>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034149"/>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34149"/>
          </a:solidFill>
          <a:ln w="19050">
            <a:solidFill>
              <a:schemeClr val="lt1"/>
            </a:solidFill>
          </a:ln>
          <a:effectLst/>
        </c:spPr>
      </c:pivotFmt>
      <c:pivotFmt>
        <c:idx val="10"/>
        <c:spPr>
          <a:solidFill>
            <a:srgbClr val="034149"/>
          </a:solidFill>
          <a:ln w="19050">
            <a:solidFill>
              <a:schemeClr val="lt1"/>
            </a:solidFill>
          </a:ln>
          <a:effectLst/>
        </c:spPr>
      </c:pivotFmt>
      <c:pivotFmt>
        <c:idx val="11"/>
        <c:spPr>
          <a:solidFill>
            <a:srgbClr val="034149"/>
          </a:solidFill>
          <a:ln w="19050">
            <a:solidFill>
              <a:schemeClr val="lt1"/>
            </a:solidFill>
          </a:ln>
          <a:effectLst/>
        </c:spPr>
      </c:pivotFmt>
    </c:pivotFmts>
    <c:plotArea>
      <c:layout/>
      <c:barChart>
        <c:barDir val="bar"/>
        <c:grouping val="clustered"/>
        <c:varyColors val="0"/>
        <c:ser>
          <c:idx val="0"/>
          <c:order val="0"/>
          <c:tx>
            <c:strRef>
              <c:f>Deeper_ana_quantity!$B$3</c:f>
              <c:strCache>
                <c:ptCount val="1"/>
                <c:pt idx="0">
                  <c:v>Total</c:v>
                </c:pt>
              </c:strCache>
            </c:strRef>
          </c:tx>
          <c:spPr>
            <a:solidFill>
              <a:srgbClr val="034149"/>
            </a:solidFill>
            <a:ln w="19050">
              <a:solidFill>
                <a:schemeClr val="lt1"/>
              </a:solidFill>
            </a:ln>
            <a:effectLst/>
          </c:spPr>
          <c:invertIfNegative val="0"/>
          <c:dPt>
            <c:idx val="0"/>
            <c:invertIfNegative val="0"/>
            <c:bubble3D val="0"/>
            <c:spPr>
              <a:solidFill>
                <a:srgbClr val="034149"/>
              </a:solidFill>
              <a:ln w="19050">
                <a:solidFill>
                  <a:schemeClr val="lt1"/>
                </a:solidFill>
              </a:ln>
              <a:effectLst/>
            </c:spPr>
            <c:extLst>
              <c:ext xmlns:c16="http://schemas.microsoft.com/office/drawing/2014/chart" uri="{C3380CC4-5D6E-409C-BE32-E72D297353CC}">
                <c16:uniqueId val="{00000001-79E8-4C0E-AF5E-A98107DA2BD8}"/>
              </c:ext>
            </c:extLst>
          </c:dPt>
          <c:dPt>
            <c:idx val="1"/>
            <c:invertIfNegative val="0"/>
            <c:bubble3D val="0"/>
            <c:spPr>
              <a:solidFill>
                <a:srgbClr val="034149"/>
              </a:solidFill>
              <a:ln w="19050">
                <a:solidFill>
                  <a:schemeClr val="lt1"/>
                </a:solidFill>
              </a:ln>
              <a:effectLst/>
            </c:spPr>
            <c:extLst>
              <c:ext xmlns:c16="http://schemas.microsoft.com/office/drawing/2014/chart" uri="{C3380CC4-5D6E-409C-BE32-E72D297353CC}">
                <c16:uniqueId val="{00000003-79E8-4C0E-AF5E-A98107DA2BD8}"/>
              </c:ext>
            </c:extLst>
          </c:dPt>
          <c:dPt>
            <c:idx val="2"/>
            <c:invertIfNegative val="0"/>
            <c:bubble3D val="0"/>
            <c:spPr>
              <a:solidFill>
                <a:srgbClr val="034149"/>
              </a:solidFill>
              <a:ln w="19050">
                <a:solidFill>
                  <a:schemeClr val="lt1"/>
                </a:solidFill>
              </a:ln>
              <a:effectLst/>
            </c:spPr>
            <c:extLst>
              <c:ext xmlns:c16="http://schemas.microsoft.com/office/drawing/2014/chart" uri="{C3380CC4-5D6E-409C-BE32-E72D297353CC}">
                <c16:uniqueId val="{00000005-79E8-4C0E-AF5E-A98107DA2BD8}"/>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Deeper_ana_quantity!$A$4:$A$7</c:f>
              <c:strCache>
                <c:ptCount val="3"/>
                <c:pt idx="0">
                  <c:v>Jan</c:v>
                </c:pt>
                <c:pt idx="1">
                  <c:v>Feb</c:v>
                </c:pt>
                <c:pt idx="2">
                  <c:v>Mar</c:v>
                </c:pt>
              </c:strCache>
            </c:strRef>
          </c:cat>
          <c:val>
            <c:numRef>
              <c:f>Deeper_ana_quantity!$B$4:$B$7</c:f>
              <c:numCache>
                <c:formatCode>General</c:formatCode>
                <c:ptCount val="3"/>
                <c:pt idx="0">
                  <c:v>1965</c:v>
                </c:pt>
                <c:pt idx="1">
                  <c:v>1654</c:v>
                </c:pt>
                <c:pt idx="2">
                  <c:v>1891</c:v>
                </c:pt>
              </c:numCache>
            </c:numRef>
          </c:val>
          <c:extLst>
            <c:ext xmlns:c16="http://schemas.microsoft.com/office/drawing/2014/chart" uri="{C3380CC4-5D6E-409C-BE32-E72D297353CC}">
              <c16:uniqueId val="{00000006-79E8-4C0E-AF5E-A98107DA2BD8}"/>
            </c:ext>
          </c:extLst>
        </c:ser>
        <c:dLbls>
          <c:showLegendKey val="0"/>
          <c:showVal val="0"/>
          <c:showCatName val="0"/>
          <c:showSerName val="0"/>
          <c:showPercent val="0"/>
          <c:showBubbleSize val="0"/>
        </c:dLbls>
        <c:gapWidth val="100"/>
        <c:axId val="1715813776"/>
        <c:axId val="1185459728"/>
      </c:barChart>
      <c:catAx>
        <c:axId val="17158137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85459728"/>
        <c:crosses val="autoZero"/>
        <c:auto val="1"/>
        <c:lblAlgn val="ctr"/>
        <c:lblOffset val="100"/>
        <c:noMultiLvlLbl val="0"/>
      </c:catAx>
      <c:valAx>
        <c:axId val="1185459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581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[Dashboard.xlsx]Deeper_analysis_total!PivotTable1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Deeper_analysis_total!$B$3</c:f>
              <c:strCache>
                <c:ptCount val="1"/>
                <c:pt idx="0">
                  <c:v>Total</c:v>
                </c:pt>
              </c:strCache>
            </c:strRef>
          </c:tx>
          <c:spPr>
            <a:solidFill>
              <a:schemeClr val="accent1"/>
            </a:solidFill>
            <a:ln>
              <a:noFill/>
            </a:ln>
            <a:effectLst/>
          </c:spPr>
          <c:invertIfNegative val="0"/>
          <c:cat>
            <c:strRef>
              <c:f>Deeper_analysis_total!$A$4:$A$7</c:f>
              <c:strCache>
                <c:ptCount val="3"/>
                <c:pt idx="0">
                  <c:v>A</c:v>
                </c:pt>
                <c:pt idx="1">
                  <c:v>B</c:v>
                </c:pt>
                <c:pt idx="2">
                  <c:v>C</c:v>
                </c:pt>
              </c:strCache>
            </c:strRef>
          </c:cat>
          <c:val>
            <c:numRef>
              <c:f>Deeper_analysis_total!$B$4:$B$7</c:f>
              <c:numCache>
                <c:formatCode>General</c:formatCode>
                <c:ptCount val="3"/>
                <c:pt idx="0">
                  <c:v>37659.121500000016</c:v>
                </c:pt>
                <c:pt idx="1">
                  <c:v>34597.342499999992</c:v>
                </c:pt>
                <c:pt idx="2">
                  <c:v>37199.042999999991</c:v>
                </c:pt>
              </c:numCache>
            </c:numRef>
          </c:val>
          <c:extLst>
            <c:ext xmlns:c16="http://schemas.microsoft.com/office/drawing/2014/chart" uri="{C3380CC4-5D6E-409C-BE32-E72D297353CC}">
              <c16:uniqueId val="{00000000-3BCF-47D1-B595-621179061D2A}"/>
            </c:ext>
          </c:extLst>
        </c:ser>
        <c:dLbls>
          <c:showLegendKey val="0"/>
          <c:showVal val="0"/>
          <c:showCatName val="0"/>
          <c:showSerName val="0"/>
          <c:showPercent val="0"/>
          <c:showBubbleSize val="0"/>
        </c:dLbls>
        <c:gapWidth val="219"/>
        <c:overlap val="-27"/>
        <c:axId val="1707508160"/>
        <c:axId val="1645720816"/>
      </c:barChart>
      <c:catAx>
        <c:axId val="170750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720816"/>
        <c:crosses val="autoZero"/>
        <c:auto val="1"/>
        <c:lblAlgn val="ctr"/>
        <c:lblOffset val="100"/>
        <c:noMultiLvlLbl val="0"/>
      </c:catAx>
      <c:valAx>
        <c:axId val="164572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50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[Dashboard.xlsx]Deeper_ana_quantity!PivotTable10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274758"/>
          </a:solidFill>
          <a:ln w="19050">
            <a:solidFill>
              <a:schemeClr val="lt1"/>
            </a:solidFill>
          </a:ln>
          <a:effectLst/>
        </c:spPr>
      </c:pivotFmt>
      <c:pivotFmt>
        <c:idx val="2"/>
        <c:spPr>
          <a:solidFill>
            <a:srgbClr val="C7E2EC"/>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Deeper_ana_quantity!$B$3</c:f>
              <c:strCache>
                <c:ptCount val="1"/>
                <c:pt idx="0">
                  <c:v>Total</c:v>
                </c:pt>
              </c:strCache>
            </c:strRef>
          </c:tx>
          <c:dPt>
            <c:idx val="0"/>
            <c:bubble3D val="0"/>
            <c:spPr>
              <a:solidFill>
                <a:srgbClr val="274758"/>
              </a:solidFill>
              <a:ln w="19050">
                <a:solidFill>
                  <a:schemeClr val="lt1"/>
                </a:solidFill>
              </a:ln>
              <a:effectLst/>
            </c:spPr>
            <c:extLst>
              <c:ext xmlns:c16="http://schemas.microsoft.com/office/drawing/2014/chart" uri="{C3380CC4-5D6E-409C-BE32-E72D297353CC}">
                <c16:uniqueId val="{00000002-B1FF-4E65-B43F-A32A61536D10}"/>
              </c:ext>
            </c:extLst>
          </c:dPt>
          <c:dPt>
            <c:idx val="1"/>
            <c:bubble3D val="0"/>
            <c:spPr>
              <a:solidFill>
                <a:srgbClr val="C7E2EC"/>
              </a:solidFill>
              <a:ln w="19050">
                <a:solidFill>
                  <a:schemeClr val="lt1"/>
                </a:solidFill>
              </a:ln>
              <a:effectLst/>
            </c:spPr>
            <c:extLst>
              <c:ext xmlns:c16="http://schemas.microsoft.com/office/drawing/2014/chart" uri="{C3380CC4-5D6E-409C-BE32-E72D297353CC}">
                <c16:uniqueId val="{00000003-B1FF-4E65-B43F-A32A61536D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1FF-4E65-B43F-A32A61536D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Deeper_ana_quantity!$A$4:$A$7</c:f>
              <c:strCache>
                <c:ptCount val="3"/>
                <c:pt idx="0">
                  <c:v>Jan</c:v>
                </c:pt>
                <c:pt idx="1">
                  <c:v>Feb</c:v>
                </c:pt>
                <c:pt idx="2">
                  <c:v>Mar</c:v>
                </c:pt>
              </c:strCache>
            </c:strRef>
          </c:cat>
          <c:val>
            <c:numRef>
              <c:f>Deeper_ana_quantity!$B$4:$B$7</c:f>
              <c:numCache>
                <c:formatCode>General</c:formatCode>
                <c:ptCount val="3"/>
                <c:pt idx="0">
                  <c:v>1965</c:v>
                </c:pt>
                <c:pt idx="1">
                  <c:v>1654</c:v>
                </c:pt>
                <c:pt idx="2">
                  <c:v>1891</c:v>
                </c:pt>
              </c:numCache>
            </c:numRef>
          </c:val>
          <c:extLst>
            <c:ext xmlns:c16="http://schemas.microsoft.com/office/drawing/2014/chart" uri="{C3380CC4-5D6E-409C-BE32-E72D297353CC}">
              <c16:uniqueId val="{00000000-B1FF-4E65-B43F-A32A61536D10}"/>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[Dashboard.xlsx]Deeper_analysis_sales!PivotTable6</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Sales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Deeper_analysis_sales!$B$3</c:f>
              <c:strCache>
                <c:ptCount val="1"/>
                <c:pt idx="0">
                  <c:v>Total</c:v>
                </c:pt>
              </c:strCache>
            </c:strRef>
          </c:tx>
          <c:spPr>
            <a:solidFill>
              <a:srgbClr val="274758"/>
            </a:solidFill>
            <a:ln>
              <a:noFill/>
            </a:ln>
            <a:effectLst/>
          </c:spPr>
          <c:invertIfNegative val="0"/>
          <c:cat>
            <c:strRef>
              <c:f>Deeper_analysis_sales!$A$4:$A$6</c:f>
              <c:strCache>
                <c:ptCount val="3"/>
                <c:pt idx="0">
                  <c:v>Jan</c:v>
                </c:pt>
                <c:pt idx="1">
                  <c:v>Feb</c:v>
                </c:pt>
                <c:pt idx="2">
                  <c:v>Mar</c:v>
                </c:pt>
              </c:strCache>
            </c:strRef>
          </c:cat>
          <c:val>
            <c:numRef>
              <c:f>Deeper_analysis_sales!$B$4:$B$6</c:f>
              <c:numCache>
                <c:formatCode>General</c:formatCode>
                <c:ptCount val="3"/>
                <c:pt idx="0">
                  <c:v>116291.86800000005</c:v>
                </c:pt>
                <c:pt idx="1">
                  <c:v>97219.373999999967</c:v>
                </c:pt>
                <c:pt idx="2">
                  <c:v>109455.50700000004</c:v>
                </c:pt>
              </c:numCache>
            </c:numRef>
          </c:val>
          <c:extLst>
            <c:ext xmlns:c16="http://schemas.microsoft.com/office/drawing/2014/chart" uri="{C3380CC4-5D6E-409C-BE32-E72D297353CC}">
              <c16:uniqueId val="{00000000-A263-45FA-A7B4-63A4C9C61CC7}"/>
            </c:ext>
          </c:extLst>
        </c:ser>
        <c:dLbls>
          <c:showLegendKey val="0"/>
          <c:showVal val="0"/>
          <c:showCatName val="0"/>
          <c:showSerName val="0"/>
          <c:showPercent val="0"/>
          <c:showBubbleSize val="0"/>
        </c:dLbls>
        <c:gapWidth val="150"/>
        <c:axId val="1715918640"/>
        <c:axId val="1176636432"/>
      </c:barChart>
      <c:catAx>
        <c:axId val="171591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6636432"/>
        <c:crosses val="autoZero"/>
        <c:auto val="1"/>
        <c:lblAlgn val="ctr"/>
        <c:lblOffset val="100"/>
        <c:noMultiLvlLbl val="0"/>
      </c:catAx>
      <c:valAx>
        <c:axId val="117663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5918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[Dashboard.xlsx]Dashboard_Sales_Branch!PivotTable4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Arial Rounded MT Bold" panose="020F0704030504030204" pitchFamily="34" charset="0"/>
              </a:rPr>
              <a:t>Total Sales by Branch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17375B"/>
            </a:solidFill>
            <a:round/>
          </a:ln>
          <a:effectLst/>
        </c:spPr>
        <c:marker>
          <c:symbol val="circle"/>
          <c:size val="5"/>
          <c:spPr>
            <a:solidFill>
              <a:srgbClr val="274758">
                <a:alpha val="55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17375B"/>
            </a:solidFill>
            <a:round/>
          </a:ln>
          <a:effectLst/>
        </c:spPr>
        <c:marker>
          <c:symbol val="circle"/>
          <c:size val="5"/>
          <c:spPr>
            <a:solidFill>
              <a:srgbClr val="274758">
                <a:alpha val="55000"/>
              </a:srgbClr>
            </a:solidFill>
            <a:ln w="9525">
              <a:solidFill>
                <a:schemeClr val="accent1"/>
              </a:solidFill>
            </a:ln>
            <a:effectLst/>
          </c:spPr>
        </c:marker>
      </c:pivotFmt>
    </c:pivotFmts>
    <c:plotArea>
      <c:layout/>
      <c:lineChart>
        <c:grouping val="standard"/>
        <c:varyColors val="0"/>
        <c:ser>
          <c:idx val="0"/>
          <c:order val="0"/>
          <c:tx>
            <c:strRef>
              <c:f>Dashboard_Sales_Branch!$B$3</c:f>
              <c:strCache>
                <c:ptCount val="1"/>
                <c:pt idx="0">
                  <c:v>Total</c:v>
                </c:pt>
              </c:strCache>
            </c:strRef>
          </c:tx>
          <c:spPr>
            <a:ln w="28575" cap="rnd">
              <a:solidFill>
                <a:srgbClr val="17375B"/>
              </a:solidFill>
              <a:round/>
            </a:ln>
            <a:effectLst/>
          </c:spPr>
          <c:marker>
            <c:symbol val="circle"/>
            <c:size val="5"/>
            <c:spPr>
              <a:solidFill>
                <a:srgbClr val="274758">
                  <a:alpha val="55000"/>
                </a:srgbClr>
              </a:solidFill>
              <a:ln w="9525">
                <a:solidFill>
                  <a:schemeClr val="accent1"/>
                </a:solidFill>
              </a:ln>
              <a:effectLst/>
            </c:spPr>
          </c:marker>
          <c:cat>
            <c:strRef>
              <c:f>Dashboard_Sales_Branch!$A$4:$A$7</c:f>
              <c:strCache>
                <c:ptCount val="3"/>
                <c:pt idx="0">
                  <c:v>A</c:v>
                </c:pt>
                <c:pt idx="1">
                  <c:v>B</c:v>
                </c:pt>
                <c:pt idx="2">
                  <c:v>C</c:v>
                </c:pt>
              </c:strCache>
            </c:strRef>
          </c:cat>
          <c:val>
            <c:numRef>
              <c:f>Dashboard_Sales_Branch!$B$4:$B$7</c:f>
              <c:numCache>
                <c:formatCode>General</c:formatCode>
                <c:ptCount val="3"/>
                <c:pt idx="0">
                  <c:v>2586.4124999999995</c:v>
                </c:pt>
                <c:pt idx="1">
                  <c:v>1041.5055</c:v>
                </c:pt>
                <c:pt idx="2">
                  <c:v>3239.9849999999997</c:v>
                </c:pt>
              </c:numCache>
            </c:numRef>
          </c:val>
          <c:smooth val="0"/>
          <c:extLst>
            <c:ext xmlns:c16="http://schemas.microsoft.com/office/drawing/2014/chart" uri="{C3380CC4-5D6E-409C-BE32-E72D297353CC}">
              <c16:uniqueId val="{00000000-58F7-4CAE-BEAE-2EB05AFD3211}"/>
            </c:ext>
          </c:extLst>
        </c:ser>
        <c:dLbls>
          <c:showLegendKey val="0"/>
          <c:showVal val="0"/>
          <c:showCatName val="0"/>
          <c:showSerName val="0"/>
          <c:showPercent val="0"/>
          <c:showBubbleSize val="0"/>
        </c:dLbls>
        <c:marker val="1"/>
        <c:smooth val="0"/>
        <c:axId val="104826127"/>
        <c:axId val="2066824175"/>
      </c:lineChart>
      <c:catAx>
        <c:axId val="10482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824175"/>
        <c:crosses val="autoZero"/>
        <c:auto val="1"/>
        <c:lblAlgn val="ctr"/>
        <c:lblOffset val="100"/>
        <c:noMultiLvlLbl val="0"/>
      </c:catAx>
      <c:valAx>
        <c:axId val="206682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26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[Dashboard.xlsx]Dashboard_Quantity_Branch!PivotTable3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274758"/>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059665871121717"/>
                  <c:h val="0.16319444444444445"/>
                </c:manualLayout>
              </c15:layout>
            </c:ext>
          </c:extLst>
        </c:dLbl>
      </c:pivotFmt>
      <c:pivotFmt>
        <c:idx val="2"/>
        <c:spPr>
          <a:solidFill>
            <a:srgbClr val="C7E2EC"/>
          </a:solidFill>
          <a:ln w="19050">
            <a:solidFill>
              <a:schemeClr val="lt1"/>
            </a:solidFill>
          </a:ln>
          <a:effectLst/>
        </c:spPr>
        <c:dLbl>
          <c:idx val="0"/>
          <c:layout>
            <c:manualLayout>
              <c:x val="7.955449482895784E-3"/>
              <c:y val="-7.060185185185184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070803500397771"/>
                  <c:h val="0.16319444444444445"/>
                </c:manualLayout>
              </c15:layout>
            </c:ext>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164677804295942"/>
                  <c:h val="0.16319444444444445"/>
                </c:manualLayout>
              </c15:layout>
            </c:ext>
          </c:extLst>
        </c:dLbl>
      </c:pivotFmt>
    </c:pivotFmts>
    <c:plotArea>
      <c:layout>
        <c:manualLayout>
          <c:layoutTarget val="inner"/>
          <c:xMode val="edge"/>
          <c:yMode val="edge"/>
          <c:x val="0.13206046141607"/>
          <c:y val="0.1875"/>
          <c:w val="0.66428003182179796"/>
          <c:h val="0.77314814814814814"/>
        </c:manualLayout>
      </c:layout>
      <c:pieChart>
        <c:varyColors val="1"/>
        <c:ser>
          <c:idx val="0"/>
          <c:order val="0"/>
          <c:tx>
            <c:strRef>
              <c:f>Dashboard_Quantity_Branch!$B$3</c:f>
              <c:strCache>
                <c:ptCount val="1"/>
                <c:pt idx="0">
                  <c:v>Total</c:v>
                </c:pt>
              </c:strCache>
            </c:strRef>
          </c:tx>
          <c:dPt>
            <c:idx val="0"/>
            <c:bubble3D val="0"/>
            <c:spPr>
              <a:solidFill>
                <a:srgbClr val="274758"/>
              </a:solidFill>
              <a:ln w="19050">
                <a:solidFill>
                  <a:schemeClr val="lt1"/>
                </a:solidFill>
              </a:ln>
              <a:effectLst/>
            </c:spPr>
            <c:extLst>
              <c:ext xmlns:c16="http://schemas.microsoft.com/office/drawing/2014/chart" uri="{C3380CC4-5D6E-409C-BE32-E72D297353CC}">
                <c16:uniqueId val="{00000002-42EA-44DE-9CBF-1EAC8CFCC7EA}"/>
              </c:ext>
            </c:extLst>
          </c:dPt>
          <c:dPt>
            <c:idx val="1"/>
            <c:bubble3D val="0"/>
            <c:spPr>
              <a:solidFill>
                <a:srgbClr val="C7E2EC"/>
              </a:solidFill>
              <a:ln w="19050">
                <a:solidFill>
                  <a:schemeClr val="lt1"/>
                </a:solidFill>
              </a:ln>
              <a:effectLst/>
            </c:spPr>
            <c:extLst>
              <c:ext xmlns:c16="http://schemas.microsoft.com/office/drawing/2014/chart" uri="{C3380CC4-5D6E-409C-BE32-E72D297353CC}">
                <c16:uniqueId val="{00000003-42EA-44DE-9CBF-1EAC8CFCC7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42EA-44DE-9CBF-1EAC8CFCC7EA}"/>
              </c:ext>
            </c:extLst>
          </c:dPt>
          <c:dLbls>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059665871121717"/>
                      <c:h val="0.16319444444444445"/>
                    </c:manualLayout>
                  </c15:layout>
                </c:ext>
                <c:ext xmlns:c16="http://schemas.microsoft.com/office/drawing/2014/chart" uri="{C3380CC4-5D6E-409C-BE32-E72D297353CC}">
                  <c16:uniqueId val="{00000002-42EA-44DE-9CBF-1EAC8CFCC7EA}"/>
                </c:ext>
              </c:extLst>
            </c:dLbl>
            <c:dLbl>
              <c:idx val="1"/>
              <c:layout>
                <c:manualLayout>
                  <c:x val="7.955449482895784E-3"/>
                  <c:y val="-7.060185185185184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070803500397771"/>
                      <c:h val="0.16319444444444445"/>
                    </c:manualLayout>
                  </c15:layout>
                </c:ext>
                <c:ext xmlns:c16="http://schemas.microsoft.com/office/drawing/2014/chart" uri="{C3380CC4-5D6E-409C-BE32-E72D297353CC}">
                  <c16:uniqueId val="{00000003-42EA-44DE-9CBF-1EAC8CFCC7EA}"/>
                </c:ext>
              </c:extLst>
            </c:dLbl>
            <c:dLbl>
              <c:idx val="2"/>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rial Rounded MT Bold" panose="020F070403050403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164677804295942"/>
                      <c:h val="0.16319444444444445"/>
                    </c:manualLayout>
                  </c15:layout>
                </c:ext>
                <c:ext xmlns:c16="http://schemas.microsoft.com/office/drawing/2014/chart" uri="{C3380CC4-5D6E-409C-BE32-E72D297353CC}">
                  <c16:uniqueId val="{00000004-42EA-44DE-9CBF-1EAC8CFCC7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Dashboard_Quantity_Branch!$A$4:$A$7</c:f>
              <c:strCache>
                <c:ptCount val="3"/>
                <c:pt idx="0">
                  <c:v>A</c:v>
                </c:pt>
                <c:pt idx="1">
                  <c:v>B</c:v>
                </c:pt>
                <c:pt idx="2">
                  <c:v>C</c:v>
                </c:pt>
              </c:strCache>
            </c:strRef>
          </c:cat>
          <c:val>
            <c:numRef>
              <c:f>Dashboard_Quantity_Branch!$B$4:$B$7</c:f>
              <c:numCache>
                <c:formatCode>General</c:formatCode>
                <c:ptCount val="3"/>
                <c:pt idx="0">
                  <c:v>35</c:v>
                </c:pt>
                <c:pt idx="1">
                  <c:v>17</c:v>
                </c:pt>
                <c:pt idx="2">
                  <c:v>48</c:v>
                </c:pt>
              </c:numCache>
            </c:numRef>
          </c:val>
          <c:extLst>
            <c:ext xmlns:c16="http://schemas.microsoft.com/office/drawing/2014/chart" uri="{C3380CC4-5D6E-409C-BE32-E72D297353CC}">
              <c16:uniqueId val="{00000000-42EA-44DE-9CBF-1EAC8CFCC7EA}"/>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[Dashboard.xlsx]Customer_anal_quantity!PivotTable28</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Total Quantity sold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Customer_anal_quantity!$B$3</c:f>
              <c:strCache>
                <c:ptCount val="1"/>
                <c:pt idx="0">
                  <c:v>Total</c:v>
                </c:pt>
              </c:strCache>
            </c:strRef>
          </c:tx>
          <c:spPr>
            <a:solidFill>
              <a:srgbClr val="274758"/>
            </a:solidFill>
            <a:ln>
              <a:noFill/>
            </a:ln>
            <a:effectLst/>
          </c:spPr>
          <c:invertIfNegative val="0"/>
          <c:cat>
            <c:multiLvlStrRef>
              <c:f>Customer_anal_quantity!$A$4:$A$13</c:f>
              <c:multiLvlStrCache>
                <c:ptCount val="6"/>
                <c:lvl>
                  <c:pt idx="0">
                    <c:v>Member</c:v>
                  </c:pt>
                  <c:pt idx="1">
                    <c:v>Normal</c:v>
                  </c:pt>
                  <c:pt idx="2">
                    <c:v>Member</c:v>
                  </c:pt>
                  <c:pt idx="3">
                    <c:v>Normal</c:v>
                  </c:pt>
                  <c:pt idx="4">
                    <c:v>Member</c:v>
                  </c:pt>
                  <c:pt idx="5">
                    <c:v>Normal</c:v>
                  </c:pt>
                </c:lvl>
                <c:lvl>
                  <c:pt idx="0">
                    <c:v>A</c:v>
                  </c:pt>
                  <c:pt idx="2">
                    <c:v>B</c:v>
                  </c:pt>
                  <c:pt idx="4">
                    <c:v>C</c:v>
                  </c:pt>
                </c:lvl>
              </c:multiLvlStrCache>
            </c:multiLvlStrRef>
          </c:cat>
          <c:val>
            <c:numRef>
              <c:f>Customer_anal_quantity!$B$4:$B$13</c:f>
              <c:numCache>
                <c:formatCode>General</c:formatCode>
                <c:ptCount val="6"/>
                <c:pt idx="0">
                  <c:v>964</c:v>
                </c:pt>
                <c:pt idx="1">
                  <c:v>895</c:v>
                </c:pt>
                <c:pt idx="2">
                  <c:v>924</c:v>
                </c:pt>
                <c:pt idx="3">
                  <c:v>896</c:v>
                </c:pt>
                <c:pt idx="4">
                  <c:v>897</c:v>
                </c:pt>
                <c:pt idx="5">
                  <c:v>934</c:v>
                </c:pt>
              </c:numCache>
            </c:numRef>
          </c:val>
          <c:extLst>
            <c:ext xmlns:c16="http://schemas.microsoft.com/office/drawing/2014/chart" uri="{C3380CC4-5D6E-409C-BE32-E72D297353CC}">
              <c16:uniqueId val="{00000000-41CB-4E59-AC62-0D4EA0DF782B}"/>
            </c:ext>
          </c:extLst>
        </c:ser>
        <c:dLbls>
          <c:showLegendKey val="0"/>
          <c:showVal val="0"/>
          <c:showCatName val="0"/>
          <c:showSerName val="0"/>
          <c:showPercent val="0"/>
          <c:showBubbleSize val="0"/>
        </c:dLbls>
        <c:gapWidth val="219"/>
        <c:overlap val="-27"/>
        <c:axId val="696965296"/>
        <c:axId val="448972304"/>
      </c:barChart>
      <c:catAx>
        <c:axId val="69696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8972304"/>
        <c:crosses val="autoZero"/>
        <c:auto val="1"/>
        <c:lblAlgn val="ctr"/>
        <c:lblOffset val="100"/>
        <c:noMultiLvlLbl val="0"/>
      </c:catAx>
      <c:valAx>
        <c:axId val="44897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696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[Dashboard.xlsx]Customer_unitprice!PivotTable29</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Per Unit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Customer_unitprice!$B$3</c:f>
              <c:strCache>
                <c:ptCount val="1"/>
                <c:pt idx="0">
                  <c:v>Total</c:v>
                </c:pt>
              </c:strCache>
            </c:strRef>
          </c:tx>
          <c:spPr>
            <a:solidFill>
              <a:srgbClr val="274758"/>
            </a:solidFill>
            <a:ln>
              <a:noFill/>
            </a:ln>
            <a:effectLst/>
          </c:spPr>
          <c:invertIfNegative val="0"/>
          <c:cat>
            <c:multiLvlStrRef>
              <c:f>Customer_unitprice!$A$4:$A$12</c:f>
              <c:multiLvlStrCache>
                <c:ptCount val="6"/>
                <c:lvl>
                  <c:pt idx="0">
                    <c:v>A</c:v>
                  </c:pt>
                  <c:pt idx="1">
                    <c:v>B</c:v>
                  </c:pt>
                  <c:pt idx="2">
                    <c:v>C</c:v>
                  </c:pt>
                  <c:pt idx="3">
                    <c:v>A</c:v>
                  </c:pt>
                  <c:pt idx="4">
                    <c:v>B</c:v>
                  </c:pt>
                  <c:pt idx="5">
                    <c:v>C</c:v>
                  </c:pt>
                </c:lvl>
                <c:lvl>
                  <c:pt idx="0">
                    <c:v>Member</c:v>
                  </c:pt>
                  <c:pt idx="3">
                    <c:v>Normal</c:v>
                  </c:pt>
                </c:lvl>
              </c:multiLvlStrCache>
            </c:multiLvlStrRef>
          </c:cat>
          <c:val>
            <c:numRef>
              <c:f>Customer_unitprice!$B$4:$B$12</c:f>
              <c:numCache>
                <c:formatCode>General</c:formatCode>
                <c:ptCount val="6"/>
                <c:pt idx="0">
                  <c:v>9081.4900000000016</c:v>
                </c:pt>
                <c:pt idx="1">
                  <c:v>9132.6700000000019</c:v>
                </c:pt>
                <c:pt idx="2">
                  <c:v>9945.5399999999991</c:v>
                </c:pt>
                <c:pt idx="3">
                  <c:v>9544.0000000000036</c:v>
                </c:pt>
                <c:pt idx="4">
                  <c:v>9346.2100000000009</c:v>
                </c:pt>
                <c:pt idx="5">
                  <c:v>8622.2199999999975</c:v>
                </c:pt>
              </c:numCache>
            </c:numRef>
          </c:val>
          <c:extLst>
            <c:ext xmlns:c16="http://schemas.microsoft.com/office/drawing/2014/chart" uri="{C3380CC4-5D6E-409C-BE32-E72D297353CC}">
              <c16:uniqueId val="{00000000-F889-4592-9285-3696E24CFEBE}"/>
            </c:ext>
          </c:extLst>
        </c:ser>
        <c:dLbls>
          <c:showLegendKey val="0"/>
          <c:showVal val="0"/>
          <c:showCatName val="0"/>
          <c:showSerName val="0"/>
          <c:showPercent val="0"/>
          <c:showBubbleSize val="0"/>
        </c:dLbls>
        <c:gapWidth val="219"/>
        <c:overlap val="-27"/>
        <c:axId val="696991744"/>
        <c:axId val="2141720495"/>
      </c:barChart>
      <c:catAx>
        <c:axId val="69699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41720495"/>
        <c:crosses val="autoZero"/>
        <c:auto val="1"/>
        <c:lblAlgn val="ctr"/>
        <c:lblOffset val="100"/>
        <c:noMultiLvlLbl val="0"/>
      </c:catAx>
      <c:valAx>
        <c:axId val="214172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699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[Dashboard.xlsx]Dashboard_Product_Sales!PivotTable1</c:name>
    <c:fmtId val="0"/>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Aptos" panose="020B0004020202020204" pitchFamily="34" charset="0"/>
                <a:ea typeface="+mn-ea"/>
                <a:cs typeface="+mn-cs"/>
              </a:defRPr>
            </a:pPr>
            <a:r>
              <a:rPr lang="en-US" b="1">
                <a:latin typeface="Aptos" panose="020B0004020202020204" pitchFamily="34" charset="0"/>
              </a:rPr>
              <a:t>Sales of Each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Aptos" panose="020B0004020202020204" pitchFamily="34" charset="0"/>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Dashboard_Product_Sales!$B$3</c:f>
              <c:strCache>
                <c:ptCount val="1"/>
                <c:pt idx="0">
                  <c:v>Total</c:v>
                </c:pt>
              </c:strCache>
            </c:strRef>
          </c:tx>
          <c:spPr>
            <a:solidFill>
              <a:srgbClr val="274758"/>
            </a:solidFill>
            <a:ln>
              <a:noFill/>
            </a:ln>
            <a:effectLst/>
          </c:spPr>
          <c:invertIfNegative val="0"/>
          <c:cat>
            <c:strRef>
              <c:f>Dashboard_Product_Sales!$A$4:$A$10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Dashboard_Product_Sales!$B$4:$B$10</c:f>
              <c:numCache>
                <c:formatCode>General</c:formatCode>
                <c:ptCount val="6"/>
                <c:pt idx="0">
                  <c:v>2707.1205</c:v>
                </c:pt>
                <c:pt idx="1">
                  <c:v>755.91600000000005</c:v>
                </c:pt>
                <c:pt idx="2">
                  <c:v>1041.5055</c:v>
                </c:pt>
                <c:pt idx="3">
                  <c:v>565.21500000000003</c:v>
                </c:pt>
                <c:pt idx="4">
                  <c:v>1218.8085000000001</c:v>
                </c:pt>
                <c:pt idx="5">
                  <c:v>1598.877</c:v>
                </c:pt>
              </c:numCache>
            </c:numRef>
          </c:val>
          <c:extLst>
            <c:ext xmlns:c16="http://schemas.microsoft.com/office/drawing/2014/chart" uri="{C3380CC4-5D6E-409C-BE32-E72D297353CC}">
              <c16:uniqueId val="{00000000-9B76-4724-8548-834E978BC52E}"/>
            </c:ext>
          </c:extLst>
        </c:ser>
        <c:dLbls>
          <c:showLegendKey val="0"/>
          <c:showVal val="0"/>
          <c:showCatName val="0"/>
          <c:showSerName val="0"/>
          <c:showPercent val="0"/>
          <c:showBubbleSize val="0"/>
        </c:dLbls>
        <c:gapWidth val="150"/>
        <c:axId val="43859519"/>
        <c:axId val="2066784815"/>
      </c:barChart>
      <c:catAx>
        <c:axId val="4385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2066784815"/>
        <c:crosses val="autoZero"/>
        <c:auto val="1"/>
        <c:lblAlgn val="ctr"/>
        <c:lblOffset val="100"/>
        <c:noMultiLvlLbl val="0"/>
      </c:catAx>
      <c:valAx>
        <c:axId val="206678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438595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2">
                    <a:lumMod val="10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[Dashboard.xlsx]Customer_sales!PivotTable30</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Total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Customer_sales!$B$3</c:f>
              <c:strCache>
                <c:ptCount val="1"/>
                <c:pt idx="0">
                  <c:v>Total</c:v>
                </c:pt>
              </c:strCache>
            </c:strRef>
          </c:tx>
          <c:spPr>
            <a:solidFill>
              <a:srgbClr val="274758"/>
            </a:solidFill>
            <a:ln>
              <a:noFill/>
            </a:ln>
            <a:effectLst/>
          </c:spPr>
          <c:invertIfNegative val="0"/>
          <c:cat>
            <c:multiLvlStrRef>
              <c:f>Customer_sales!$A$4:$A$13</c:f>
              <c:multiLvlStrCache>
                <c:ptCount val="6"/>
                <c:lvl>
                  <c:pt idx="0">
                    <c:v>Female</c:v>
                  </c:pt>
                  <c:pt idx="1">
                    <c:v>Male</c:v>
                  </c:pt>
                  <c:pt idx="2">
                    <c:v>Female</c:v>
                  </c:pt>
                  <c:pt idx="3">
                    <c:v>Male</c:v>
                  </c:pt>
                  <c:pt idx="4">
                    <c:v>Female</c:v>
                  </c:pt>
                  <c:pt idx="5">
                    <c:v>Male</c:v>
                  </c:pt>
                </c:lvl>
                <c:lvl>
                  <c:pt idx="0">
                    <c:v>A</c:v>
                  </c:pt>
                  <c:pt idx="2">
                    <c:v>B</c:v>
                  </c:pt>
                  <c:pt idx="4">
                    <c:v>C</c:v>
                  </c:pt>
                </c:lvl>
              </c:multiLvlStrCache>
            </c:multiLvlStrRef>
          </c:cat>
          <c:val>
            <c:numRef>
              <c:f>Customer_sales!$B$4:$B$13</c:f>
              <c:numCache>
                <c:formatCode>General</c:formatCode>
                <c:ptCount val="6"/>
                <c:pt idx="0">
                  <c:v>53269.166999999994</c:v>
                </c:pt>
                <c:pt idx="1">
                  <c:v>52931.203499999981</c:v>
                </c:pt>
                <c:pt idx="2">
                  <c:v>52928.295000000013</c:v>
                </c:pt>
                <c:pt idx="3">
                  <c:v>53269.377000000022</c:v>
                </c:pt>
                <c:pt idx="4">
                  <c:v>61685.463000000018</c:v>
                </c:pt>
                <c:pt idx="5">
                  <c:v>48883.24349999999</c:v>
                </c:pt>
              </c:numCache>
            </c:numRef>
          </c:val>
          <c:extLst>
            <c:ext xmlns:c16="http://schemas.microsoft.com/office/drawing/2014/chart" uri="{C3380CC4-5D6E-409C-BE32-E72D297353CC}">
              <c16:uniqueId val="{00000000-6ED2-4790-9BE0-A0F7FE1BAA34}"/>
            </c:ext>
          </c:extLst>
        </c:ser>
        <c:dLbls>
          <c:showLegendKey val="0"/>
          <c:showVal val="0"/>
          <c:showCatName val="0"/>
          <c:showSerName val="0"/>
          <c:showPercent val="0"/>
          <c:showBubbleSize val="0"/>
        </c:dLbls>
        <c:gapWidth val="219"/>
        <c:overlap val="-27"/>
        <c:axId val="696827488"/>
        <c:axId val="715069232"/>
      </c:barChart>
      <c:catAx>
        <c:axId val="69682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069232"/>
        <c:crosses val="autoZero"/>
        <c:auto val="1"/>
        <c:lblAlgn val="ctr"/>
        <c:lblOffset val="100"/>
        <c:noMultiLvlLbl val="0"/>
      </c:catAx>
      <c:valAx>
        <c:axId val="71506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682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[Dashboard.xlsx]Customer_analysis_sales!PivotTable23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Total Sales by the Customer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rgbClr val="17375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Customer_analysis_sales!$B$3</c:f>
              <c:strCache>
                <c:ptCount val="1"/>
                <c:pt idx="0">
                  <c:v>Total</c:v>
                </c:pt>
              </c:strCache>
            </c:strRef>
          </c:tx>
          <c:spPr>
            <a:ln w="28575" cap="rnd">
              <a:solidFill>
                <a:srgbClr val="17375B"/>
              </a:solidFill>
              <a:round/>
            </a:ln>
            <a:effectLst/>
          </c:spPr>
          <c:marker>
            <c:symbol val="none"/>
          </c:marker>
          <c:cat>
            <c:multiLvlStrRef>
              <c:f>Customer_analysis_sales!$A$4:$A$13</c:f>
              <c:multiLvlStrCache>
                <c:ptCount val="6"/>
                <c:lvl>
                  <c:pt idx="0">
                    <c:v>Member</c:v>
                  </c:pt>
                  <c:pt idx="1">
                    <c:v>Normal</c:v>
                  </c:pt>
                  <c:pt idx="2">
                    <c:v>Member</c:v>
                  </c:pt>
                  <c:pt idx="3">
                    <c:v>Normal</c:v>
                  </c:pt>
                  <c:pt idx="4">
                    <c:v>Member</c:v>
                  </c:pt>
                  <c:pt idx="5">
                    <c:v>Normal</c:v>
                  </c:pt>
                </c:lvl>
                <c:lvl>
                  <c:pt idx="0">
                    <c:v>A</c:v>
                  </c:pt>
                  <c:pt idx="2">
                    <c:v>B</c:v>
                  </c:pt>
                  <c:pt idx="4">
                    <c:v>C</c:v>
                  </c:pt>
                </c:lvl>
              </c:multiLvlStrCache>
            </c:multiLvlStrRef>
          </c:cat>
          <c:val>
            <c:numRef>
              <c:f>Customer_analysis_sales!$B$4:$B$13</c:f>
              <c:numCache>
                <c:formatCode>General</c:formatCode>
                <c:ptCount val="6"/>
                <c:pt idx="0">
                  <c:v>53637.475499999993</c:v>
                </c:pt>
                <c:pt idx="1">
                  <c:v>52562.894999999975</c:v>
                </c:pt>
                <c:pt idx="2">
                  <c:v>53704.686000000009</c:v>
                </c:pt>
                <c:pt idx="3">
                  <c:v>52492.986000000034</c:v>
                </c:pt>
                <c:pt idx="4">
                  <c:v>56881.282500000016</c:v>
                </c:pt>
                <c:pt idx="5">
                  <c:v>53687.42399999997</c:v>
                </c:pt>
              </c:numCache>
            </c:numRef>
          </c:val>
          <c:smooth val="0"/>
          <c:extLst>
            <c:ext xmlns:c16="http://schemas.microsoft.com/office/drawing/2014/chart" uri="{C3380CC4-5D6E-409C-BE32-E72D297353CC}">
              <c16:uniqueId val="{00000000-0C9B-44F9-8944-2E0452FDB521}"/>
            </c:ext>
          </c:extLst>
        </c:ser>
        <c:dLbls>
          <c:showLegendKey val="0"/>
          <c:showVal val="0"/>
          <c:showCatName val="0"/>
          <c:showSerName val="0"/>
          <c:showPercent val="0"/>
          <c:showBubbleSize val="0"/>
        </c:dLbls>
        <c:smooth val="0"/>
        <c:axId val="715347088"/>
        <c:axId val="715103792"/>
      </c:lineChart>
      <c:catAx>
        <c:axId val="71534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103792"/>
        <c:crosses val="autoZero"/>
        <c:auto val="1"/>
        <c:lblAlgn val="ctr"/>
        <c:lblOffset val="100"/>
        <c:noMultiLvlLbl val="0"/>
      </c:catAx>
      <c:valAx>
        <c:axId val="71510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34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[Dashboard.xlsx]Product_anyl_unitprice!PivotTable27</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Per Unit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Product_anyl_unitprice!$B$3</c:f>
              <c:strCache>
                <c:ptCount val="1"/>
                <c:pt idx="0">
                  <c:v>Total</c:v>
                </c:pt>
              </c:strCache>
            </c:strRef>
          </c:tx>
          <c:spPr>
            <a:solidFill>
              <a:srgbClr val="274758"/>
            </a:solidFill>
            <a:ln>
              <a:noFill/>
            </a:ln>
            <a:effectLst/>
          </c:spPr>
          <c:invertIfNegative val="0"/>
          <c:cat>
            <c:strRef>
              <c:f>Product_anyl_unitprice!$A$4:$A$10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Product_anyl_unitprice!$B$4:$B$10</c:f>
              <c:numCache>
                <c:formatCode>General</c:formatCode>
                <c:ptCount val="6"/>
                <c:pt idx="0">
                  <c:v>9103.7700000000059</c:v>
                </c:pt>
                <c:pt idx="1">
                  <c:v>10173.349999999997</c:v>
                </c:pt>
                <c:pt idx="2">
                  <c:v>9745.5400000000063</c:v>
                </c:pt>
                <c:pt idx="3">
                  <c:v>8337.880000000001</c:v>
                </c:pt>
                <c:pt idx="4">
                  <c:v>8850.7099999999955</c:v>
                </c:pt>
                <c:pt idx="5">
                  <c:v>9460.8799999999956</c:v>
                </c:pt>
              </c:numCache>
            </c:numRef>
          </c:val>
          <c:extLst>
            <c:ext xmlns:c16="http://schemas.microsoft.com/office/drawing/2014/chart" uri="{C3380CC4-5D6E-409C-BE32-E72D297353CC}">
              <c16:uniqueId val="{00000000-665E-46C8-89E4-6B2660883C74}"/>
            </c:ext>
          </c:extLst>
        </c:ser>
        <c:dLbls>
          <c:showLegendKey val="0"/>
          <c:showVal val="0"/>
          <c:showCatName val="0"/>
          <c:showSerName val="0"/>
          <c:showPercent val="0"/>
          <c:showBubbleSize val="0"/>
        </c:dLbls>
        <c:gapWidth val="219"/>
        <c:overlap val="-27"/>
        <c:axId val="560279840"/>
        <c:axId val="715054352"/>
      </c:barChart>
      <c:catAx>
        <c:axId val="56027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054352"/>
        <c:crosses val="autoZero"/>
        <c:auto val="1"/>
        <c:lblAlgn val="ctr"/>
        <c:lblOffset val="100"/>
        <c:noMultiLvlLbl val="0"/>
      </c:catAx>
      <c:valAx>
        <c:axId val="71505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027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[Dashboard.xlsx]Product_line_quantity!PivotTable20</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Product_line_quantity!$B$3</c:f>
              <c:strCache>
                <c:ptCount val="1"/>
                <c:pt idx="0">
                  <c:v>Total</c:v>
                </c:pt>
              </c:strCache>
            </c:strRef>
          </c:tx>
          <c:spPr>
            <a:solidFill>
              <a:srgbClr val="274758"/>
            </a:solidFill>
            <a:ln>
              <a:noFill/>
            </a:ln>
            <a:effectLst/>
          </c:spPr>
          <c:invertIfNegative val="0"/>
          <c:cat>
            <c:strRef>
              <c:f>Product_line_quantity!$A$4:$A$10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Product_line_quantity!$B$4:$B$10</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1754-4D08-A689-106C26B611EE}"/>
            </c:ext>
          </c:extLst>
        </c:ser>
        <c:dLbls>
          <c:showLegendKey val="0"/>
          <c:showVal val="0"/>
          <c:showCatName val="0"/>
          <c:showSerName val="0"/>
          <c:showPercent val="0"/>
          <c:showBubbleSize val="0"/>
        </c:dLbls>
        <c:gapWidth val="219"/>
        <c:overlap val="-27"/>
        <c:axId val="712841472"/>
        <c:axId val="715105712"/>
      </c:barChart>
      <c:catAx>
        <c:axId val="71284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105712"/>
        <c:crosses val="autoZero"/>
        <c:auto val="1"/>
        <c:lblAlgn val="ctr"/>
        <c:lblOffset val="100"/>
        <c:noMultiLvlLbl val="0"/>
      </c:catAx>
      <c:valAx>
        <c:axId val="71510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284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[Dashboard.xlsx]Product_line_gross!PivotTable21</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Gross income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Product_line_gross!$B$3</c:f>
              <c:strCache>
                <c:ptCount val="1"/>
                <c:pt idx="0">
                  <c:v>Total</c:v>
                </c:pt>
              </c:strCache>
            </c:strRef>
          </c:tx>
          <c:spPr>
            <a:solidFill>
              <a:srgbClr val="274758"/>
            </a:solidFill>
            <a:ln>
              <a:noFill/>
            </a:ln>
            <a:effectLst/>
          </c:spPr>
          <c:invertIfNegative val="0"/>
          <c:cat>
            <c:strRef>
              <c:f>Product_line_gross!$A$4:$A$10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Product_line_gross!$B$4:$B$10</c:f>
              <c:numCache>
                <c:formatCode>General</c:formatCode>
                <c:ptCount val="6"/>
                <c:pt idx="0">
                  <c:v>2587.5015000000017</c:v>
                </c:pt>
                <c:pt idx="1">
                  <c:v>2585.9949999999999</c:v>
                </c:pt>
                <c:pt idx="2">
                  <c:v>2673.5639999999994</c:v>
                </c:pt>
                <c:pt idx="3">
                  <c:v>2342.5589999999993</c:v>
                </c:pt>
                <c:pt idx="4">
                  <c:v>2564.8530000000019</c:v>
                </c:pt>
                <c:pt idx="5">
                  <c:v>2624.8964999999994</c:v>
                </c:pt>
              </c:numCache>
            </c:numRef>
          </c:val>
          <c:extLst>
            <c:ext xmlns:c16="http://schemas.microsoft.com/office/drawing/2014/chart" uri="{C3380CC4-5D6E-409C-BE32-E72D297353CC}">
              <c16:uniqueId val="{00000000-E362-4A86-9D05-9BED926F5FB8}"/>
            </c:ext>
          </c:extLst>
        </c:ser>
        <c:dLbls>
          <c:showLegendKey val="0"/>
          <c:showVal val="0"/>
          <c:showCatName val="0"/>
          <c:showSerName val="0"/>
          <c:showPercent val="0"/>
          <c:showBubbleSize val="0"/>
        </c:dLbls>
        <c:gapWidth val="219"/>
        <c:overlap val="-27"/>
        <c:axId val="712872096"/>
        <c:axId val="715112912"/>
      </c:barChart>
      <c:catAx>
        <c:axId val="71287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112912"/>
        <c:crosses val="autoZero"/>
        <c:auto val="1"/>
        <c:lblAlgn val="ctr"/>
        <c:lblOffset val="100"/>
        <c:noMultiLvlLbl val="0"/>
      </c:catAx>
      <c:valAx>
        <c:axId val="71511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287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[Dashboard.xlsx]Branch_anl_total!Branchanl_total</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of Each Branch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Branch_anl_total!$B$3</c:f>
              <c:strCache>
                <c:ptCount val="1"/>
                <c:pt idx="0">
                  <c:v>Total</c:v>
                </c:pt>
              </c:strCache>
            </c:strRef>
          </c:tx>
          <c:spPr>
            <a:solidFill>
              <a:schemeClr val="accent1"/>
            </a:solidFill>
            <a:ln>
              <a:noFill/>
            </a:ln>
            <a:effectLst/>
          </c:spPr>
          <c:invertIfNegative val="0"/>
          <c:cat>
            <c:strRef>
              <c:f>Branch_anl_total!$A$4:$A$7</c:f>
              <c:strCache>
                <c:ptCount val="3"/>
                <c:pt idx="0">
                  <c:v>A</c:v>
                </c:pt>
                <c:pt idx="1">
                  <c:v>B</c:v>
                </c:pt>
                <c:pt idx="2">
                  <c:v>C</c:v>
                </c:pt>
              </c:strCache>
            </c:strRef>
          </c:cat>
          <c:val>
            <c:numRef>
              <c:f>Branch_anl_total!$B$4:$B$7</c:f>
              <c:numCache>
                <c:formatCode>General</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8DCC-44CA-A18C-9A08EB89CFAD}"/>
            </c:ext>
          </c:extLst>
        </c:ser>
        <c:dLbls>
          <c:showLegendKey val="0"/>
          <c:showVal val="0"/>
          <c:showCatName val="0"/>
          <c:showSerName val="0"/>
          <c:showPercent val="0"/>
          <c:showBubbleSize val="0"/>
        </c:dLbls>
        <c:gapWidth val="150"/>
        <c:axId val="712690208"/>
        <c:axId val="2141710895"/>
      </c:barChart>
      <c:catAx>
        <c:axId val="71269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710895"/>
        <c:crosses val="autoZero"/>
        <c:auto val="1"/>
        <c:lblAlgn val="ctr"/>
        <c:lblOffset val="100"/>
        <c:noMultiLvlLbl val="0"/>
      </c:catAx>
      <c:valAx>
        <c:axId val="214171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90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[Dashboard.xlsx]Branch_anal_quantitusold!PivotTable7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Quantity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Branch_anal_quantitusold!$B$3</c:f>
              <c:strCache>
                <c:ptCount val="1"/>
                <c:pt idx="0">
                  <c:v>Total</c:v>
                </c:pt>
              </c:strCache>
            </c:strRef>
          </c:tx>
          <c:spPr>
            <a:solidFill>
              <a:schemeClr val="accent1"/>
            </a:solidFill>
            <a:ln>
              <a:noFill/>
            </a:ln>
            <a:effectLst/>
          </c:spPr>
          <c:invertIfNegative val="0"/>
          <c:cat>
            <c:strRef>
              <c:f>Branch_anal_quantitusold!$A$4:$A$7</c:f>
              <c:strCache>
                <c:ptCount val="3"/>
                <c:pt idx="0">
                  <c:v>A</c:v>
                </c:pt>
                <c:pt idx="1">
                  <c:v>B</c:v>
                </c:pt>
                <c:pt idx="2">
                  <c:v>C</c:v>
                </c:pt>
              </c:strCache>
            </c:strRef>
          </c:cat>
          <c:val>
            <c:numRef>
              <c:f>Branch_anal_quantitusold!$B$4:$B$7</c:f>
              <c:numCache>
                <c:formatCode>General</c:formatCode>
                <c:ptCount val="3"/>
                <c:pt idx="0">
                  <c:v>1859</c:v>
                </c:pt>
                <c:pt idx="1">
                  <c:v>1820</c:v>
                </c:pt>
                <c:pt idx="2">
                  <c:v>1831</c:v>
                </c:pt>
              </c:numCache>
            </c:numRef>
          </c:val>
          <c:extLst>
            <c:ext xmlns:c16="http://schemas.microsoft.com/office/drawing/2014/chart" uri="{C3380CC4-5D6E-409C-BE32-E72D297353CC}">
              <c16:uniqueId val="{00000000-F1E2-4B4A-9F21-730071720664}"/>
            </c:ext>
          </c:extLst>
        </c:ser>
        <c:dLbls>
          <c:showLegendKey val="0"/>
          <c:showVal val="0"/>
          <c:showCatName val="0"/>
          <c:showSerName val="0"/>
          <c:showPercent val="0"/>
          <c:showBubbleSize val="0"/>
        </c:dLbls>
        <c:gapWidth val="150"/>
        <c:axId val="712899472"/>
        <c:axId val="2141726735"/>
      </c:barChart>
      <c:catAx>
        <c:axId val="71289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726735"/>
        <c:crosses val="autoZero"/>
        <c:auto val="1"/>
        <c:lblAlgn val="ctr"/>
        <c:lblOffset val="100"/>
        <c:noMultiLvlLbl val="0"/>
      </c:catAx>
      <c:valAx>
        <c:axId val="214172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99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[Dashboard.xlsx]Branch_anal_rating!PivotTable9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Branch_anal_rating!$B$3</c:f>
              <c:strCache>
                <c:ptCount val="1"/>
                <c:pt idx="0">
                  <c:v>Total</c:v>
                </c:pt>
              </c:strCache>
            </c:strRef>
          </c:tx>
          <c:spPr>
            <a:solidFill>
              <a:srgbClr val="274758"/>
            </a:solidFill>
            <a:ln>
              <a:noFill/>
            </a:ln>
            <a:effectLst/>
          </c:spPr>
          <c:invertIfNegative val="0"/>
          <c:cat>
            <c:strRef>
              <c:f>Branch_anal_rating!$A$4:$A$7</c:f>
              <c:strCache>
                <c:ptCount val="3"/>
                <c:pt idx="0">
                  <c:v>A</c:v>
                </c:pt>
                <c:pt idx="1">
                  <c:v>B</c:v>
                </c:pt>
                <c:pt idx="2">
                  <c:v>C</c:v>
                </c:pt>
              </c:strCache>
            </c:strRef>
          </c:cat>
          <c:val>
            <c:numRef>
              <c:f>Branch_anal_rating!$B$4:$B$7</c:f>
              <c:numCache>
                <c:formatCode>General</c:formatCode>
                <c:ptCount val="3"/>
                <c:pt idx="0">
                  <c:v>7.0270588235294129</c:v>
                </c:pt>
                <c:pt idx="1">
                  <c:v>6.8180722891566266</c:v>
                </c:pt>
                <c:pt idx="2">
                  <c:v>7.0728658536585378</c:v>
                </c:pt>
              </c:numCache>
            </c:numRef>
          </c:val>
          <c:extLst>
            <c:ext xmlns:c16="http://schemas.microsoft.com/office/drawing/2014/chart" uri="{C3380CC4-5D6E-409C-BE32-E72D297353CC}">
              <c16:uniqueId val="{00000000-91C7-43B8-A0F4-740F4905DADF}"/>
            </c:ext>
          </c:extLst>
        </c:ser>
        <c:dLbls>
          <c:showLegendKey val="0"/>
          <c:showVal val="0"/>
          <c:showCatName val="0"/>
          <c:showSerName val="0"/>
          <c:showPercent val="0"/>
          <c:showBubbleSize val="0"/>
        </c:dLbls>
        <c:gapWidth val="219"/>
        <c:overlap val="-27"/>
        <c:axId val="638972400"/>
        <c:axId val="448971824"/>
      </c:barChart>
      <c:catAx>
        <c:axId val="63897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971824"/>
        <c:crosses val="autoZero"/>
        <c:auto val="1"/>
        <c:lblAlgn val="ctr"/>
        <c:lblOffset val="100"/>
        <c:noMultiLvlLbl val="0"/>
      </c:catAx>
      <c:valAx>
        <c:axId val="44897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7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[Dashboard.xlsx]Branch_anal_unitpric!PivotTable26</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Difference by Unit Price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2747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Branch_anal_unitpric!$B$3</c:f>
              <c:strCache>
                <c:ptCount val="1"/>
                <c:pt idx="0">
                  <c:v>Total</c:v>
                </c:pt>
              </c:strCache>
            </c:strRef>
          </c:tx>
          <c:spPr>
            <a:solidFill>
              <a:srgbClr val="274758"/>
            </a:solidFill>
            <a:ln>
              <a:noFill/>
            </a:ln>
            <a:effectLst/>
          </c:spPr>
          <c:invertIfNegative val="0"/>
          <c:cat>
            <c:strRef>
              <c:f>Branch_anal_unitpric!$A$4:$A$7</c:f>
              <c:strCache>
                <c:ptCount val="3"/>
                <c:pt idx="0">
                  <c:v>A</c:v>
                </c:pt>
                <c:pt idx="1">
                  <c:v>B</c:v>
                </c:pt>
                <c:pt idx="2">
                  <c:v>C</c:v>
                </c:pt>
              </c:strCache>
            </c:strRef>
          </c:cat>
          <c:val>
            <c:numRef>
              <c:f>Branch_anal_unitpric!$B$4:$B$7</c:f>
              <c:numCache>
                <c:formatCode>General</c:formatCode>
                <c:ptCount val="3"/>
                <c:pt idx="0">
                  <c:v>18625.489999999998</c:v>
                </c:pt>
                <c:pt idx="1">
                  <c:v>18478.88</c:v>
                </c:pt>
                <c:pt idx="2">
                  <c:v>18567.759999999998</c:v>
                </c:pt>
              </c:numCache>
            </c:numRef>
          </c:val>
          <c:extLst>
            <c:ext xmlns:c16="http://schemas.microsoft.com/office/drawing/2014/chart" uri="{C3380CC4-5D6E-409C-BE32-E72D297353CC}">
              <c16:uniqueId val="{00000000-6A80-492E-BB3C-F3F569B35F48}"/>
            </c:ext>
          </c:extLst>
        </c:ser>
        <c:dLbls>
          <c:showLegendKey val="0"/>
          <c:showVal val="0"/>
          <c:showCatName val="0"/>
          <c:showSerName val="0"/>
          <c:showPercent val="0"/>
          <c:showBubbleSize val="0"/>
        </c:dLbls>
        <c:gapWidth val="182"/>
        <c:axId val="797640192"/>
        <c:axId val="715099952"/>
      </c:barChart>
      <c:catAx>
        <c:axId val="79764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099952"/>
        <c:crosses val="autoZero"/>
        <c:auto val="1"/>
        <c:lblAlgn val="ctr"/>
        <c:lblOffset val="100"/>
        <c:noMultiLvlLbl val="0"/>
      </c:catAx>
      <c:valAx>
        <c:axId val="715099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764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eeper_Analysis!A1"/><Relationship Id="rId3" Type="http://schemas.openxmlformats.org/officeDocument/2006/relationships/chart" Target="../charts/chart2.xml"/><Relationship Id="rId7" Type="http://schemas.openxmlformats.org/officeDocument/2006/relationships/hyperlink" Target="#Product_Analysis!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hyperlink" Target="#Branch_Analysis!A1"/><Relationship Id="rId5" Type="http://schemas.openxmlformats.org/officeDocument/2006/relationships/image" Target="../media/image2.png"/><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hyperlink" Target="#Deeper_Analysis!A1"/><Relationship Id="rId3" Type="http://schemas.openxmlformats.org/officeDocument/2006/relationships/chart" Target="../charts/chart4.xml"/><Relationship Id="rId7" Type="http://schemas.openxmlformats.org/officeDocument/2006/relationships/hyperlink" Target="#Product_Analysis!A1"/><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Deeper_Analysis!A1"/><Relationship Id="rId3" Type="http://schemas.openxmlformats.org/officeDocument/2006/relationships/chart" Target="../charts/chart10.xml"/><Relationship Id="rId7" Type="http://schemas.openxmlformats.org/officeDocument/2006/relationships/hyperlink" Target="#Branch_Analysis!A1"/><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hyperlink" Target="#Dashboard!A1"/><Relationship Id="rId5" Type="http://schemas.openxmlformats.org/officeDocument/2006/relationships/image" Target="../media/image2.png"/><Relationship Id="rId4" Type="http://schemas.openxmlformats.org/officeDocument/2006/relationships/chart" Target="../charts/chart11.xml"/><Relationship Id="rId9"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image" Target="../media/image2.png"/><Relationship Id="rId7"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hyperlink" Target="#Product_Analysis!A1"/><Relationship Id="rId5" Type="http://schemas.openxmlformats.org/officeDocument/2006/relationships/hyperlink" Target="#Branch_Analysis!A1"/><Relationship Id="rId10" Type="http://schemas.openxmlformats.org/officeDocument/2006/relationships/image" Target="../media/image1.png"/><Relationship Id="rId4" Type="http://schemas.openxmlformats.org/officeDocument/2006/relationships/hyperlink" Target="#Dashboard!A1"/><Relationship Id="rId9"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0</xdr:col>
      <xdr:colOff>45643</xdr:colOff>
      <xdr:row>6</xdr:row>
      <xdr:rowOff>107449</xdr:rowOff>
    </xdr:from>
    <xdr:to>
      <xdr:col>2</xdr:col>
      <xdr:colOff>548563</xdr:colOff>
      <xdr:row>8</xdr:row>
      <xdr:rowOff>137930</xdr:rowOff>
    </xdr:to>
    <xdr:sp macro="" textlink="">
      <xdr:nvSpPr>
        <xdr:cNvPr id="4" name="Rectangle 3">
          <a:extLst>
            <a:ext uri="{FF2B5EF4-FFF2-40B4-BE49-F238E27FC236}">
              <a16:creationId xmlns:a16="http://schemas.microsoft.com/office/drawing/2014/main" id="{169F6242-563B-C3FA-53D0-0485DA084EEE}"/>
            </a:ext>
          </a:extLst>
        </xdr:cNvPr>
        <xdr:cNvSpPr/>
      </xdr:nvSpPr>
      <xdr:spPr>
        <a:xfrm>
          <a:off x="45643" y="1215813"/>
          <a:ext cx="1719041" cy="3999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Aptos" panose="020B0004020202020204" pitchFamily="34" charset="0"/>
              <a:cs typeface="Arial" panose="020B0604020202020204" pitchFamily="34" charset="0"/>
            </a:rPr>
            <a:t>Supermarket</a:t>
          </a:r>
        </a:p>
      </xdr:txBody>
    </xdr:sp>
    <xdr:clientData/>
  </xdr:twoCellAnchor>
  <xdr:twoCellAnchor editAs="oneCell">
    <xdr:from>
      <xdr:col>22</xdr:col>
      <xdr:colOff>129540</xdr:colOff>
      <xdr:row>0</xdr:row>
      <xdr:rowOff>7620</xdr:rowOff>
    </xdr:from>
    <xdr:to>
      <xdr:col>23</xdr:col>
      <xdr:colOff>30480</xdr:colOff>
      <xdr:row>2</xdr:row>
      <xdr:rowOff>152400</xdr:rowOff>
    </xdr:to>
    <xdr:pic>
      <xdr:nvPicPr>
        <xdr:cNvPr id="9" name="Picture 8">
          <a:extLst>
            <a:ext uri="{FF2B5EF4-FFF2-40B4-BE49-F238E27FC236}">
              <a16:creationId xmlns:a16="http://schemas.microsoft.com/office/drawing/2014/main" id="{B8122283-641B-9867-362C-1905D5BC83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40740" y="7620"/>
          <a:ext cx="510540" cy="510540"/>
        </a:xfrm>
        <a:prstGeom prst="rect">
          <a:avLst/>
        </a:prstGeom>
      </xdr:spPr>
    </xdr:pic>
    <xdr:clientData/>
  </xdr:twoCellAnchor>
  <xdr:twoCellAnchor>
    <xdr:from>
      <xdr:col>3</xdr:col>
      <xdr:colOff>265700</xdr:colOff>
      <xdr:row>4</xdr:row>
      <xdr:rowOff>144703</xdr:rowOff>
    </xdr:from>
    <xdr:to>
      <xdr:col>22</xdr:col>
      <xdr:colOff>425720</xdr:colOff>
      <xdr:row>9</xdr:row>
      <xdr:rowOff>22783</xdr:rowOff>
    </xdr:to>
    <xdr:sp macro="" textlink="">
      <xdr:nvSpPr>
        <xdr:cNvPr id="30" name="Rectangle 29">
          <a:extLst>
            <a:ext uri="{FF2B5EF4-FFF2-40B4-BE49-F238E27FC236}">
              <a16:creationId xmlns:a16="http://schemas.microsoft.com/office/drawing/2014/main" id="{DF071908-4D4D-4AE4-8CA2-798E445F0490}"/>
            </a:ext>
          </a:extLst>
        </xdr:cNvPr>
        <xdr:cNvSpPr/>
      </xdr:nvSpPr>
      <xdr:spPr>
        <a:xfrm>
          <a:off x="2089882" y="883612"/>
          <a:ext cx="11713171" cy="801716"/>
        </a:xfrm>
        <a:prstGeom prst="rect">
          <a:avLst/>
        </a:prstGeom>
        <a:solidFill>
          <a:schemeClr val="bg1"/>
        </a:solidFill>
        <a:ln>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a:solidFill>
              <a:srgbClr val="274758"/>
            </a:solidFill>
          </a:endParaRPr>
        </a:p>
      </xdr:txBody>
    </xdr:sp>
    <xdr:clientData/>
  </xdr:twoCellAnchor>
  <xdr:twoCellAnchor>
    <xdr:from>
      <xdr:col>6</xdr:col>
      <xdr:colOff>241839</xdr:colOff>
      <xdr:row>5</xdr:row>
      <xdr:rowOff>76200</xdr:rowOff>
    </xdr:from>
    <xdr:to>
      <xdr:col>9</xdr:col>
      <xdr:colOff>173259</xdr:colOff>
      <xdr:row>8</xdr:row>
      <xdr:rowOff>91440</xdr:rowOff>
    </xdr:to>
    <xdr:sp macro="" textlink="">
      <xdr:nvSpPr>
        <xdr:cNvPr id="27" name="Rectangle: Rounded Corners 26">
          <a:extLst>
            <a:ext uri="{FF2B5EF4-FFF2-40B4-BE49-F238E27FC236}">
              <a16:creationId xmlns:a16="http://schemas.microsoft.com/office/drawing/2014/main" id="{3FEA4950-35C1-4FE0-8A32-6D4530ED75DB}"/>
            </a:ext>
          </a:extLst>
        </xdr:cNvPr>
        <xdr:cNvSpPr/>
      </xdr:nvSpPr>
      <xdr:spPr>
        <a:xfrm>
          <a:off x="3890203" y="999836"/>
          <a:ext cx="1755601" cy="569422"/>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490912</xdr:colOff>
      <xdr:row>6</xdr:row>
      <xdr:rowOff>167640</xdr:rowOff>
    </xdr:from>
    <xdr:to>
      <xdr:col>8</xdr:col>
      <xdr:colOff>460432</xdr:colOff>
      <xdr:row>8</xdr:row>
      <xdr:rowOff>68580</xdr:rowOff>
    </xdr:to>
    <xdr:sp macro="" textlink="">
      <xdr:nvSpPr>
        <xdr:cNvPr id="38" name="Rectangle 37">
          <a:extLst>
            <a:ext uri="{FF2B5EF4-FFF2-40B4-BE49-F238E27FC236}">
              <a16:creationId xmlns:a16="http://schemas.microsoft.com/office/drawing/2014/main" id="{10817EDA-5D1C-159B-F5EC-9EA5DF00D27F}"/>
            </a:ext>
          </a:extLst>
        </xdr:cNvPr>
        <xdr:cNvSpPr/>
      </xdr:nvSpPr>
      <xdr:spPr>
        <a:xfrm>
          <a:off x="4139276" y="1276004"/>
          <a:ext cx="1185641" cy="27039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n>
                <a:solidFill>
                  <a:srgbClr val="274758"/>
                </a:solidFill>
              </a:ln>
              <a:solidFill>
                <a:srgbClr val="C7E2EC"/>
              </a:solidFill>
            </a:rPr>
            <a:t>Sales</a:t>
          </a:r>
          <a:r>
            <a:rPr lang="en-US" sz="2400" b="1">
              <a:ln>
                <a:solidFill>
                  <a:srgbClr val="274758"/>
                </a:solidFill>
              </a:ln>
              <a:solidFill>
                <a:srgbClr val="C7E2EC"/>
              </a:solidFill>
            </a:rPr>
            <a:t> </a:t>
          </a:r>
          <a:r>
            <a:rPr lang="en-US" sz="1800" b="1">
              <a:ln>
                <a:solidFill>
                  <a:srgbClr val="274758"/>
                </a:solidFill>
              </a:ln>
              <a:solidFill>
                <a:srgbClr val="C7E2EC"/>
              </a:solidFill>
            </a:rPr>
            <a:t>($)</a:t>
          </a:r>
          <a:endParaRPr lang="en-US" sz="2000" b="1">
            <a:ln>
              <a:solidFill>
                <a:srgbClr val="274758"/>
              </a:solidFill>
            </a:ln>
            <a:solidFill>
              <a:srgbClr val="C7E2EC"/>
            </a:solidFill>
          </a:endParaRPr>
        </a:p>
      </xdr:txBody>
    </xdr:sp>
    <xdr:clientData/>
  </xdr:twoCellAnchor>
  <xdr:twoCellAnchor>
    <xdr:from>
      <xdr:col>6</xdr:col>
      <xdr:colOff>210742</xdr:colOff>
      <xdr:row>5</xdr:row>
      <xdr:rowOff>15240</xdr:rowOff>
    </xdr:from>
    <xdr:to>
      <xdr:col>9</xdr:col>
      <xdr:colOff>104062</xdr:colOff>
      <xdr:row>7</xdr:row>
      <xdr:rowOff>114300</xdr:rowOff>
    </xdr:to>
    <xdr:sp macro="" textlink="Dashboard_Total_Sales!B13">
      <xdr:nvSpPr>
        <xdr:cNvPr id="40" name="Rectangle 39">
          <a:extLst>
            <a:ext uri="{FF2B5EF4-FFF2-40B4-BE49-F238E27FC236}">
              <a16:creationId xmlns:a16="http://schemas.microsoft.com/office/drawing/2014/main" id="{540B2F09-E8A8-4907-BC81-2C840A1F8674}"/>
            </a:ext>
          </a:extLst>
        </xdr:cNvPr>
        <xdr:cNvSpPr/>
      </xdr:nvSpPr>
      <xdr:spPr>
        <a:xfrm>
          <a:off x="3859106" y="938876"/>
          <a:ext cx="1717501" cy="468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83D985-D4B5-4BD3-9F83-4B0D3802F413}" type="TxLink">
            <a:rPr lang="en-US" sz="1800" b="1" i="0" u="none" strike="noStrike">
              <a:solidFill>
                <a:srgbClr val="000000"/>
              </a:solidFill>
              <a:latin typeface="Calibri"/>
              <a:ea typeface="Calibri"/>
              <a:cs typeface="Calibri"/>
            </a:rPr>
            <a:pPr algn="ctr"/>
            <a:t>1041.5</a:t>
          </a:fld>
          <a:endParaRPr lang="en-US" sz="3600" b="1">
            <a:solidFill>
              <a:schemeClr val="tx1">
                <a:lumMod val="95000"/>
                <a:lumOff val="5000"/>
              </a:schemeClr>
            </a:solidFill>
          </a:endParaRPr>
        </a:p>
      </xdr:txBody>
    </xdr:sp>
    <xdr:clientData/>
  </xdr:twoCellAnchor>
  <xdr:twoCellAnchor>
    <xdr:from>
      <xdr:col>9</xdr:col>
      <xdr:colOff>335973</xdr:colOff>
      <xdr:row>5</xdr:row>
      <xdr:rowOff>83974</xdr:rowOff>
    </xdr:from>
    <xdr:to>
      <xdr:col>12</xdr:col>
      <xdr:colOff>267393</xdr:colOff>
      <xdr:row>8</xdr:row>
      <xdr:rowOff>99214</xdr:rowOff>
    </xdr:to>
    <xdr:sp macro="" textlink="">
      <xdr:nvSpPr>
        <xdr:cNvPr id="2" name="Rectangle: Rounded Corners 1">
          <a:extLst>
            <a:ext uri="{FF2B5EF4-FFF2-40B4-BE49-F238E27FC236}">
              <a16:creationId xmlns:a16="http://schemas.microsoft.com/office/drawing/2014/main" id="{AFD63A0B-433A-48F9-AAF6-48119E1E6622}"/>
            </a:ext>
          </a:extLst>
        </xdr:cNvPr>
        <xdr:cNvSpPr/>
      </xdr:nvSpPr>
      <xdr:spPr>
        <a:xfrm>
          <a:off x="5808518" y="1007610"/>
          <a:ext cx="1755602" cy="569422"/>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407400</xdr:colOff>
      <xdr:row>5</xdr:row>
      <xdr:rowOff>83896</xdr:rowOff>
    </xdr:from>
    <xdr:to>
      <xdr:col>15</xdr:col>
      <xdr:colOff>340360</xdr:colOff>
      <xdr:row>8</xdr:row>
      <xdr:rowOff>99136</xdr:rowOff>
    </xdr:to>
    <xdr:sp macro="" textlink="">
      <xdr:nvSpPr>
        <xdr:cNvPr id="6" name="Rectangle: Rounded Corners 5">
          <a:extLst>
            <a:ext uri="{FF2B5EF4-FFF2-40B4-BE49-F238E27FC236}">
              <a16:creationId xmlns:a16="http://schemas.microsoft.com/office/drawing/2014/main" id="{5761CFB8-DD3D-4FC3-9DDC-BE73B2E10FCF}"/>
            </a:ext>
          </a:extLst>
        </xdr:cNvPr>
        <xdr:cNvSpPr/>
      </xdr:nvSpPr>
      <xdr:spPr>
        <a:xfrm>
          <a:off x="7704127" y="1007532"/>
          <a:ext cx="1757142" cy="569422"/>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503998</xdr:colOff>
      <xdr:row>5</xdr:row>
      <xdr:rowOff>91671</xdr:rowOff>
    </xdr:from>
    <xdr:to>
      <xdr:col>18</xdr:col>
      <xdr:colOff>435418</xdr:colOff>
      <xdr:row>8</xdr:row>
      <xdr:rowOff>106911</xdr:rowOff>
    </xdr:to>
    <xdr:sp macro="" textlink="">
      <xdr:nvSpPr>
        <xdr:cNvPr id="7" name="Rectangle: Rounded Corners 6">
          <a:extLst>
            <a:ext uri="{FF2B5EF4-FFF2-40B4-BE49-F238E27FC236}">
              <a16:creationId xmlns:a16="http://schemas.microsoft.com/office/drawing/2014/main" id="{E7D6DE8A-6FB2-466A-B8AB-2C19CE9E4B65}"/>
            </a:ext>
          </a:extLst>
        </xdr:cNvPr>
        <xdr:cNvSpPr/>
      </xdr:nvSpPr>
      <xdr:spPr>
        <a:xfrm>
          <a:off x="9624907" y="1015307"/>
          <a:ext cx="1755602" cy="569422"/>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457047</xdr:colOff>
      <xdr:row>7</xdr:row>
      <xdr:rowOff>6311</xdr:rowOff>
    </xdr:from>
    <xdr:to>
      <xdr:col>12</xdr:col>
      <xdr:colOff>53187</xdr:colOff>
      <xdr:row>8</xdr:row>
      <xdr:rowOff>91978</xdr:rowOff>
    </xdr:to>
    <xdr:sp macro="" textlink="">
      <xdr:nvSpPr>
        <xdr:cNvPr id="8" name="Rectangle 7">
          <a:extLst>
            <a:ext uri="{FF2B5EF4-FFF2-40B4-BE49-F238E27FC236}">
              <a16:creationId xmlns:a16="http://schemas.microsoft.com/office/drawing/2014/main" id="{51EF7DBB-A83E-45B5-9783-72FD64C27201}"/>
            </a:ext>
          </a:extLst>
        </xdr:cNvPr>
        <xdr:cNvSpPr/>
      </xdr:nvSpPr>
      <xdr:spPr>
        <a:xfrm>
          <a:off x="5929592" y="1299402"/>
          <a:ext cx="1420322" cy="27039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n>
                <a:solidFill>
                  <a:srgbClr val="274758"/>
                </a:solidFill>
              </a:ln>
              <a:solidFill>
                <a:srgbClr val="C7E2EC"/>
              </a:solidFill>
            </a:rPr>
            <a:t>Quantity</a:t>
          </a:r>
        </a:p>
      </xdr:txBody>
    </xdr:sp>
    <xdr:clientData/>
  </xdr:twoCellAnchor>
  <xdr:twoCellAnchor>
    <xdr:from>
      <xdr:col>12</xdr:col>
      <xdr:colOff>354060</xdr:colOff>
      <xdr:row>6</xdr:row>
      <xdr:rowOff>52262</xdr:rowOff>
    </xdr:from>
    <xdr:to>
      <xdr:col>15</xdr:col>
      <xdr:colOff>376149</xdr:colOff>
      <xdr:row>9</xdr:row>
      <xdr:rowOff>92364</xdr:rowOff>
    </xdr:to>
    <xdr:sp macro="" textlink="">
      <xdr:nvSpPr>
        <xdr:cNvPr id="12" name="Rectangle 11">
          <a:extLst>
            <a:ext uri="{FF2B5EF4-FFF2-40B4-BE49-F238E27FC236}">
              <a16:creationId xmlns:a16="http://schemas.microsoft.com/office/drawing/2014/main" id="{22EC0B76-FAEA-4021-B0BE-FAB689CDD382}"/>
            </a:ext>
          </a:extLst>
        </xdr:cNvPr>
        <xdr:cNvSpPr/>
      </xdr:nvSpPr>
      <xdr:spPr>
        <a:xfrm>
          <a:off x="7650787" y="1160626"/>
          <a:ext cx="1846271" cy="5942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n>
                <a:solidFill>
                  <a:srgbClr val="274758"/>
                </a:solidFill>
              </a:ln>
              <a:solidFill>
                <a:srgbClr val="C7E2EC"/>
              </a:solidFill>
            </a:rPr>
            <a:t>Gross Income ($)</a:t>
          </a:r>
        </a:p>
      </xdr:txBody>
    </xdr:sp>
    <xdr:clientData/>
  </xdr:twoCellAnchor>
  <xdr:twoCellAnchor>
    <xdr:from>
      <xdr:col>15</xdr:col>
      <xdr:colOff>569576</xdr:colOff>
      <xdr:row>6</xdr:row>
      <xdr:rowOff>144780</xdr:rowOff>
    </xdr:from>
    <xdr:to>
      <xdr:col>18</xdr:col>
      <xdr:colOff>90363</xdr:colOff>
      <xdr:row>8</xdr:row>
      <xdr:rowOff>177030</xdr:rowOff>
    </xdr:to>
    <xdr:sp macro="" textlink="">
      <xdr:nvSpPr>
        <xdr:cNvPr id="13" name="Rectangle 12">
          <a:extLst>
            <a:ext uri="{FF2B5EF4-FFF2-40B4-BE49-F238E27FC236}">
              <a16:creationId xmlns:a16="http://schemas.microsoft.com/office/drawing/2014/main" id="{A1E44346-F6F0-4079-8EA0-554BD1AFBC36}"/>
            </a:ext>
          </a:extLst>
        </xdr:cNvPr>
        <xdr:cNvSpPr/>
      </xdr:nvSpPr>
      <xdr:spPr>
        <a:xfrm>
          <a:off x="9690485" y="1253144"/>
          <a:ext cx="1344969" cy="4017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rgbClr val="C7E2EC"/>
              </a:solidFill>
            </a:rPr>
            <a:t>      </a:t>
          </a:r>
          <a:r>
            <a:rPr lang="en-US" sz="2000" b="1">
              <a:ln>
                <a:solidFill>
                  <a:srgbClr val="274758"/>
                </a:solidFill>
              </a:ln>
              <a:solidFill>
                <a:srgbClr val="C7E2EC"/>
              </a:solidFill>
            </a:rPr>
            <a:t>Rating</a:t>
          </a:r>
        </a:p>
      </xdr:txBody>
    </xdr:sp>
    <xdr:clientData/>
  </xdr:twoCellAnchor>
  <xdr:twoCellAnchor>
    <xdr:from>
      <xdr:col>9</xdr:col>
      <xdr:colOff>320577</xdr:colOff>
      <xdr:row>5</xdr:row>
      <xdr:rowOff>0</xdr:rowOff>
    </xdr:from>
    <xdr:to>
      <xdr:col>12</xdr:col>
      <xdr:colOff>213897</xdr:colOff>
      <xdr:row>7</xdr:row>
      <xdr:rowOff>99060</xdr:rowOff>
    </xdr:to>
    <xdr:sp macro="" textlink="Dashboard_Quantity_products!B12">
      <xdr:nvSpPr>
        <xdr:cNvPr id="14" name="Rectangle 13">
          <a:extLst>
            <a:ext uri="{FF2B5EF4-FFF2-40B4-BE49-F238E27FC236}">
              <a16:creationId xmlns:a16="http://schemas.microsoft.com/office/drawing/2014/main" id="{E2388676-A7AC-4DB1-AABE-9EA11D011FA6}"/>
            </a:ext>
          </a:extLst>
        </xdr:cNvPr>
        <xdr:cNvSpPr/>
      </xdr:nvSpPr>
      <xdr:spPr>
        <a:xfrm>
          <a:off x="5793122" y="923636"/>
          <a:ext cx="1717502" cy="468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1055D2-14B9-4CD2-81C7-42D63757515E}" type="TxLink">
            <a:rPr lang="en-US" sz="1800" b="1" i="0" u="none" strike="noStrike">
              <a:solidFill>
                <a:srgbClr val="000000"/>
              </a:solidFill>
              <a:latin typeface="Calibri"/>
              <a:ea typeface="Calibri"/>
              <a:cs typeface="Calibri"/>
            </a:rPr>
            <a:pPr algn="ctr"/>
            <a:t>17</a:t>
          </a:fld>
          <a:endParaRPr lang="en-US" sz="5400" b="1">
            <a:solidFill>
              <a:schemeClr val="tx1">
                <a:lumMod val="95000"/>
                <a:lumOff val="5000"/>
              </a:schemeClr>
            </a:solidFill>
          </a:endParaRPr>
        </a:p>
      </xdr:txBody>
    </xdr:sp>
    <xdr:clientData/>
  </xdr:twoCellAnchor>
  <xdr:twoCellAnchor>
    <xdr:from>
      <xdr:col>12</xdr:col>
      <xdr:colOff>377148</xdr:colOff>
      <xdr:row>5</xdr:row>
      <xdr:rowOff>15240</xdr:rowOff>
    </xdr:from>
    <xdr:to>
      <xdr:col>15</xdr:col>
      <xdr:colOff>272008</xdr:colOff>
      <xdr:row>7</xdr:row>
      <xdr:rowOff>114300</xdr:rowOff>
    </xdr:to>
    <xdr:sp macro="" textlink="Dashboard_Gross_income!B12">
      <xdr:nvSpPr>
        <xdr:cNvPr id="15" name="Rectangle 14">
          <a:extLst>
            <a:ext uri="{FF2B5EF4-FFF2-40B4-BE49-F238E27FC236}">
              <a16:creationId xmlns:a16="http://schemas.microsoft.com/office/drawing/2014/main" id="{27BFE71D-D5A7-4F26-8279-96C525411DD1}"/>
            </a:ext>
          </a:extLst>
        </xdr:cNvPr>
        <xdr:cNvSpPr/>
      </xdr:nvSpPr>
      <xdr:spPr>
        <a:xfrm>
          <a:off x="7673875" y="938876"/>
          <a:ext cx="1719042" cy="468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67FBC9-6E81-462D-A2FA-FCC6B4D5D997}" type="TxLink">
            <a:rPr lang="en-US" sz="1600" b="1" i="0" u="none" strike="noStrike">
              <a:solidFill>
                <a:srgbClr val="000000"/>
              </a:solidFill>
              <a:latin typeface="Calibri"/>
              <a:ea typeface="Calibri"/>
              <a:cs typeface="Calibri"/>
            </a:rPr>
            <a:pPr algn="ctr"/>
            <a:t>49.6</a:t>
          </a:fld>
          <a:endParaRPr lang="en-US" sz="4800" b="1">
            <a:solidFill>
              <a:schemeClr val="tx1">
                <a:lumMod val="95000"/>
                <a:lumOff val="5000"/>
              </a:schemeClr>
            </a:solidFill>
          </a:endParaRPr>
        </a:p>
      </xdr:txBody>
    </xdr:sp>
    <xdr:clientData/>
  </xdr:twoCellAnchor>
  <xdr:twoCellAnchor>
    <xdr:from>
      <xdr:col>15</xdr:col>
      <xdr:colOff>564645</xdr:colOff>
      <xdr:row>5</xdr:row>
      <xdr:rowOff>30788</xdr:rowOff>
    </xdr:from>
    <xdr:to>
      <xdr:col>18</xdr:col>
      <xdr:colOff>457965</xdr:colOff>
      <xdr:row>7</xdr:row>
      <xdr:rowOff>129848</xdr:rowOff>
    </xdr:to>
    <xdr:sp macro="" textlink="Dashboard_Ratings!B12">
      <xdr:nvSpPr>
        <xdr:cNvPr id="19" name="Rectangle 18">
          <a:extLst>
            <a:ext uri="{FF2B5EF4-FFF2-40B4-BE49-F238E27FC236}">
              <a16:creationId xmlns:a16="http://schemas.microsoft.com/office/drawing/2014/main" id="{3A73B225-7EED-4B2B-994E-93D886AF074F}"/>
            </a:ext>
          </a:extLst>
        </xdr:cNvPr>
        <xdr:cNvSpPr/>
      </xdr:nvSpPr>
      <xdr:spPr>
        <a:xfrm>
          <a:off x="9685554" y="954424"/>
          <a:ext cx="1717502" cy="468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2C5990-0BD1-4FEE-AC87-440C37D5F43F}" type="TxLink">
            <a:rPr lang="en-US" sz="1800" b="1" i="0" u="none" strike="noStrike">
              <a:solidFill>
                <a:srgbClr val="000000"/>
              </a:solidFill>
              <a:latin typeface="Calibri"/>
              <a:ea typeface="Calibri"/>
              <a:cs typeface="Calibri"/>
            </a:rPr>
            <a:pPr algn="ctr"/>
            <a:t>9.03</a:t>
          </a:fld>
          <a:endParaRPr lang="en-US" sz="5400" b="1">
            <a:solidFill>
              <a:schemeClr val="tx1">
                <a:lumMod val="95000"/>
                <a:lumOff val="5000"/>
              </a:schemeClr>
            </a:solidFill>
          </a:endParaRPr>
        </a:p>
      </xdr:txBody>
    </xdr:sp>
    <xdr:clientData/>
  </xdr:twoCellAnchor>
  <xdr:twoCellAnchor>
    <xdr:from>
      <xdr:col>8</xdr:col>
      <xdr:colOff>554182</xdr:colOff>
      <xdr:row>10</xdr:row>
      <xdr:rowOff>115454</xdr:rowOff>
    </xdr:from>
    <xdr:to>
      <xdr:col>16</xdr:col>
      <xdr:colOff>330969</xdr:colOff>
      <xdr:row>26</xdr:row>
      <xdr:rowOff>46182</xdr:rowOff>
    </xdr:to>
    <xdr:graphicFrame macro="">
      <xdr:nvGraphicFramePr>
        <xdr:cNvPr id="20" name="Chart 19">
          <a:extLst>
            <a:ext uri="{FF2B5EF4-FFF2-40B4-BE49-F238E27FC236}">
              <a16:creationId xmlns:a16="http://schemas.microsoft.com/office/drawing/2014/main" id="{FF80159A-701A-400A-9644-D069E8630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381000</xdr:colOff>
      <xdr:row>10</xdr:row>
      <xdr:rowOff>114302</xdr:rowOff>
    </xdr:from>
    <xdr:to>
      <xdr:col>8</xdr:col>
      <xdr:colOff>207818</xdr:colOff>
      <xdr:row>18</xdr:row>
      <xdr:rowOff>23092</xdr:rowOff>
    </xdr:to>
    <xdr:graphicFrame macro="">
      <xdr:nvGraphicFramePr>
        <xdr:cNvPr id="22" name="Chart 21">
          <a:extLst>
            <a:ext uri="{FF2B5EF4-FFF2-40B4-BE49-F238E27FC236}">
              <a16:creationId xmlns:a16="http://schemas.microsoft.com/office/drawing/2014/main" id="{06EBF87E-DF2A-42F6-A0CF-034C3C0FA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396855</xdr:colOff>
      <xdr:row>18</xdr:row>
      <xdr:rowOff>177030</xdr:rowOff>
    </xdr:from>
    <xdr:to>
      <xdr:col>8</xdr:col>
      <xdr:colOff>200121</xdr:colOff>
      <xdr:row>26</xdr:row>
      <xdr:rowOff>76969</xdr:rowOff>
    </xdr:to>
    <xdr:graphicFrame macro="">
      <xdr:nvGraphicFramePr>
        <xdr:cNvPr id="23" name="Chart 22">
          <a:extLst>
            <a:ext uri="{FF2B5EF4-FFF2-40B4-BE49-F238E27FC236}">
              <a16:creationId xmlns:a16="http://schemas.microsoft.com/office/drawing/2014/main" id="{2B7D192B-C0DE-4AC5-B518-D79E21CD8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384849</xdr:colOff>
      <xdr:row>15</xdr:row>
      <xdr:rowOff>169334</xdr:rowOff>
    </xdr:from>
    <xdr:ext cx="269882" cy="264560"/>
    <xdr:sp macro="" textlink="">
      <xdr:nvSpPr>
        <xdr:cNvPr id="25" name="TextBox 24">
          <a:extLst>
            <a:ext uri="{FF2B5EF4-FFF2-40B4-BE49-F238E27FC236}">
              <a16:creationId xmlns:a16="http://schemas.microsoft.com/office/drawing/2014/main" id="{E62AF004-CE30-4D5A-AFCF-C8200186F103}"/>
            </a:ext>
          </a:extLst>
        </xdr:cNvPr>
        <xdr:cNvSpPr txBox="1"/>
      </xdr:nvSpPr>
      <xdr:spPr>
        <a:xfrm>
          <a:off x="3425152" y="2940243"/>
          <a:ext cx="2698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latin typeface="Aptos" panose="020B0004020202020204" pitchFamily="34" charset="0"/>
            </a:rPr>
            <a:t>B</a:t>
          </a:r>
        </a:p>
      </xdr:txBody>
    </xdr:sp>
    <xdr:clientData/>
  </xdr:oneCellAnchor>
  <xdr:twoCellAnchor>
    <xdr:from>
      <xdr:col>19</xdr:col>
      <xdr:colOff>2156</xdr:colOff>
      <xdr:row>5</xdr:row>
      <xdr:rowOff>97828</xdr:rowOff>
    </xdr:from>
    <xdr:to>
      <xdr:col>21</xdr:col>
      <xdr:colOff>541637</xdr:colOff>
      <xdr:row>8</xdr:row>
      <xdr:rowOff>113068</xdr:rowOff>
    </xdr:to>
    <xdr:sp macro="" textlink="">
      <xdr:nvSpPr>
        <xdr:cNvPr id="26" name="Rectangle: Rounded Corners 25">
          <a:extLst>
            <a:ext uri="{FF2B5EF4-FFF2-40B4-BE49-F238E27FC236}">
              <a16:creationId xmlns:a16="http://schemas.microsoft.com/office/drawing/2014/main" id="{780A393F-C54F-4D6E-9CCB-460802419317}"/>
            </a:ext>
          </a:extLst>
        </xdr:cNvPr>
        <xdr:cNvSpPr/>
      </xdr:nvSpPr>
      <xdr:spPr>
        <a:xfrm>
          <a:off x="11555308" y="1021464"/>
          <a:ext cx="1755602" cy="569422"/>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113913</xdr:colOff>
      <xdr:row>6</xdr:row>
      <xdr:rowOff>143241</xdr:rowOff>
    </xdr:from>
    <xdr:to>
      <xdr:col>21</xdr:col>
      <xdr:colOff>469514</xdr:colOff>
      <xdr:row>8</xdr:row>
      <xdr:rowOff>175491</xdr:rowOff>
    </xdr:to>
    <xdr:sp macro="" textlink="">
      <xdr:nvSpPr>
        <xdr:cNvPr id="29" name="Rectangle 28">
          <a:extLst>
            <a:ext uri="{FF2B5EF4-FFF2-40B4-BE49-F238E27FC236}">
              <a16:creationId xmlns:a16="http://schemas.microsoft.com/office/drawing/2014/main" id="{FED79FCB-7CE9-45DA-987B-133D63294CBB}"/>
            </a:ext>
          </a:extLst>
        </xdr:cNvPr>
        <xdr:cNvSpPr/>
      </xdr:nvSpPr>
      <xdr:spPr>
        <a:xfrm>
          <a:off x="11667065" y="1251605"/>
          <a:ext cx="1571722" cy="4017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n>
                <a:solidFill>
                  <a:srgbClr val="274758"/>
                </a:solidFill>
              </a:ln>
              <a:solidFill>
                <a:srgbClr val="C7E2EC"/>
              </a:solidFill>
            </a:rPr>
            <a:t>Tax Price ($)</a:t>
          </a:r>
        </a:p>
      </xdr:txBody>
    </xdr:sp>
    <xdr:clientData/>
  </xdr:twoCellAnchor>
  <xdr:twoCellAnchor editAs="oneCell">
    <xdr:from>
      <xdr:col>16</xdr:col>
      <xdr:colOff>592668</xdr:colOff>
      <xdr:row>18</xdr:row>
      <xdr:rowOff>15394</xdr:rowOff>
    </xdr:from>
    <xdr:to>
      <xdr:col>19</xdr:col>
      <xdr:colOff>597286</xdr:colOff>
      <xdr:row>24</xdr:row>
      <xdr:rowOff>103370</xdr:rowOff>
    </xdr:to>
    <mc:AlternateContent xmlns:mc="http://schemas.openxmlformats.org/markup-compatibility/2006" xmlns:a14="http://schemas.microsoft.com/office/drawing/2010/main">
      <mc:Choice Requires="a14">
        <xdr:graphicFrame macro="">
          <xdr:nvGraphicFramePr>
            <xdr:cNvPr id="32" name="Payment 1">
              <a:extLst>
                <a:ext uri="{FF2B5EF4-FFF2-40B4-BE49-F238E27FC236}">
                  <a16:creationId xmlns:a16="http://schemas.microsoft.com/office/drawing/2014/main" id="{0200B8FC-C6D5-448E-833B-C0E8652195D2}"/>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0321638" y="3340485"/>
              <a:ext cx="182880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130850</xdr:colOff>
      <xdr:row>21</xdr:row>
      <xdr:rowOff>169334</xdr:rowOff>
    </xdr:from>
    <xdr:to>
      <xdr:col>23</xdr:col>
      <xdr:colOff>135468</xdr:colOff>
      <xdr:row>26</xdr:row>
      <xdr:rowOff>107758</xdr:rowOff>
    </xdr:to>
    <mc:AlternateContent xmlns:mc="http://schemas.openxmlformats.org/markup-compatibility/2006" xmlns:a14="http://schemas.microsoft.com/office/drawing/2010/main">
      <mc:Choice Requires="a14">
        <xdr:graphicFrame macro="">
          <xdr:nvGraphicFramePr>
            <xdr:cNvPr id="36" name="Gender 1">
              <a:extLst>
                <a:ext uri="{FF2B5EF4-FFF2-40B4-BE49-F238E27FC236}">
                  <a16:creationId xmlns:a16="http://schemas.microsoft.com/office/drawing/2014/main" id="{9152468F-C792-488D-B206-177A3AB0DB9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292062" y="4048607"/>
              <a:ext cx="1828800" cy="86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130851</xdr:colOff>
      <xdr:row>10</xdr:row>
      <xdr:rowOff>169333</xdr:rowOff>
    </xdr:from>
    <xdr:to>
      <xdr:col>23</xdr:col>
      <xdr:colOff>135469</xdr:colOff>
      <xdr:row>21</xdr:row>
      <xdr:rowOff>100061</xdr:rowOff>
    </xdr:to>
    <mc:AlternateContent xmlns:mc="http://schemas.openxmlformats.org/markup-compatibility/2006" xmlns:a14="http://schemas.microsoft.com/office/drawing/2010/main">
      <mc:Choice Requires="a14">
        <xdr:graphicFrame macro="">
          <xdr:nvGraphicFramePr>
            <xdr:cNvPr id="44" name="Product line 1">
              <a:extLst>
                <a:ext uri="{FF2B5EF4-FFF2-40B4-BE49-F238E27FC236}">
                  <a16:creationId xmlns:a16="http://schemas.microsoft.com/office/drawing/2014/main" id="{F3725DBD-6A08-4DDA-A635-801F83E0D56E}"/>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2292063" y="2016606"/>
              <a:ext cx="1828800" cy="1962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600363</xdr:colOff>
      <xdr:row>10</xdr:row>
      <xdr:rowOff>146241</xdr:rowOff>
    </xdr:from>
    <xdr:to>
      <xdr:col>19</xdr:col>
      <xdr:colOff>604981</xdr:colOff>
      <xdr:row>17</xdr:row>
      <xdr:rowOff>123150</xdr:rowOff>
    </xdr:to>
    <mc:AlternateContent xmlns:mc="http://schemas.openxmlformats.org/markup-compatibility/2006" xmlns:a14="http://schemas.microsoft.com/office/drawing/2010/main">
      <mc:Choice Requires="a14">
        <xdr:graphicFrame macro="">
          <xdr:nvGraphicFramePr>
            <xdr:cNvPr id="46" name="Branch 1">
              <a:extLst>
                <a:ext uri="{FF2B5EF4-FFF2-40B4-BE49-F238E27FC236}">
                  <a16:creationId xmlns:a16="http://schemas.microsoft.com/office/drawing/2014/main" id="{AF74B7B5-DF88-4A68-BDC5-C54743FCBD30}"/>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0329333" y="1993514"/>
              <a:ext cx="18288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354059</xdr:colOff>
      <xdr:row>5</xdr:row>
      <xdr:rowOff>123150</xdr:rowOff>
    </xdr:from>
    <xdr:ext cx="1801092" cy="592667"/>
    <xdr:sp macro="" textlink="">
      <xdr:nvSpPr>
        <xdr:cNvPr id="10" name="TextBox 9">
          <a:extLst>
            <a:ext uri="{FF2B5EF4-FFF2-40B4-BE49-F238E27FC236}">
              <a16:creationId xmlns:a16="http://schemas.microsoft.com/office/drawing/2014/main" id="{97CBDA3B-4C16-B8F8-83DC-07341BC59479}"/>
            </a:ext>
          </a:extLst>
        </xdr:cNvPr>
        <xdr:cNvSpPr txBox="1"/>
      </xdr:nvSpPr>
      <xdr:spPr>
        <a:xfrm>
          <a:off x="2178241" y="1046786"/>
          <a:ext cx="1801092" cy="592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solidFill>
                <a:srgbClr val="274758"/>
              </a:solidFill>
              <a:latin typeface="Aptos" panose="020B0004020202020204" pitchFamily="34" charset="0"/>
            </a:rPr>
            <a:t>Over View:</a:t>
          </a:r>
        </a:p>
      </xdr:txBody>
    </xdr:sp>
    <xdr:clientData/>
  </xdr:oneCellAnchor>
  <xdr:twoCellAnchor>
    <xdr:from>
      <xdr:col>19</xdr:col>
      <xdr:colOff>32014</xdr:colOff>
      <xdr:row>5</xdr:row>
      <xdr:rowOff>60037</xdr:rowOff>
    </xdr:from>
    <xdr:to>
      <xdr:col>21</xdr:col>
      <xdr:colOff>533395</xdr:colOff>
      <xdr:row>7</xdr:row>
      <xdr:rowOff>159097</xdr:rowOff>
    </xdr:to>
    <xdr:sp macro="" textlink="'Dashboard_5%Tax_branch'!B9">
      <xdr:nvSpPr>
        <xdr:cNvPr id="21" name="Rectangle 20">
          <a:extLst>
            <a:ext uri="{FF2B5EF4-FFF2-40B4-BE49-F238E27FC236}">
              <a16:creationId xmlns:a16="http://schemas.microsoft.com/office/drawing/2014/main" id="{4DEF50EF-7B57-4938-ABA7-994DF04FAE82}"/>
            </a:ext>
          </a:extLst>
        </xdr:cNvPr>
        <xdr:cNvSpPr/>
      </xdr:nvSpPr>
      <xdr:spPr>
        <a:xfrm>
          <a:off x="11585166" y="983673"/>
          <a:ext cx="1717502" cy="468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9DC058-CB64-488C-A01D-F67F74EF7208}" type="TxLink">
            <a:rPr lang="en-US" sz="1800" b="1" i="0" u="none" strike="noStrike">
              <a:solidFill>
                <a:srgbClr val="000000"/>
              </a:solidFill>
              <a:latin typeface="Calibri"/>
              <a:ea typeface="Calibri"/>
              <a:cs typeface="Calibri"/>
            </a:rPr>
            <a:pPr algn="ctr"/>
            <a:t>96.6</a:t>
          </a:fld>
          <a:endParaRPr lang="en-US" sz="1800" b="1">
            <a:solidFill>
              <a:schemeClr val="tx1">
                <a:lumMod val="95000"/>
                <a:lumOff val="5000"/>
              </a:schemeClr>
            </a:solidFill>
          </a:endParaRPr>
        </a:p>
      </xdr:txBody>
    </xdr:sp>
    <xdr:clientData/>
  </xdr:twoCellAnchor>
  <xdr:twoCellAnchor>
    <xdr:from>
      <xdr:col>0</xdr:col>
      <xdr:colOff>0</xdr:colOff>
      <xdr:row>13</xdr:row>
      <xdr:rowOff>7697</xdr:rowOff>
    </xdr:from>
    <xdr:to>
      <xdr:col>3</xdr:col>
      <xdr:colOff>361757</xdr:colOff>
      <xdr:row>16</xdr:row>
      <xdr:rowOff>15318</xdr:rowOff>
    </xdr:to>
    <xdr:sp macro="" textlink="">
      <xdr:nvSpPr>
        <xdr:cNvPr id="28" name="Flowchart: Terminator 27">
          <a:extLst>
            <a:ext uri="{FF2B5EF4-FFF2-40B4-BE49-F238E27FC236}">
              <a16:creationId xmlns:a16="http://schemas.microsoft.com/office/drawing/2014/main" id="{8AA3F1D0-CC8A-4D1C-8E9D-D4B8BBE62D3D}"/>
            </a:ext>
          </a:extLst>
        </xdr:cNvPr>
        <xdr:cNvSpPr/>
      </xdr:nvSpPr>
      <xdr:spPr>
        <a:xfrm>
          <a:off x="0" y="2409152"/>
          <a:ext cx="2185939" cy="561802"/>
        </a:xfrm>
        <a:prstGeom prst="flowChartTerminator">
          <a:avLst/>
        </a:prstGeom>
        <a:solidFill>
          <a:srgbClr val="C7E2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274758"/>
              </a:solidFill>
              <a:latin typeface="Aptos" panose="020B0004020202020204" pitchFamily="34" charset="0"/>
            </a:rPr>
            <a:t>Dashboard</a:t>
          </a:r>
        </a:p>
      </xdr:txBody>
    </xdr:sp>
    <xdr:clientData/>
  </xdr:twoCellAnchor>
  <xdr:twoCellAnchor editAs="oneCell">
    <xdr:from>
      <xdr:col>0</xdr:col>
      <xdr:colOff>330971</xdr:colOff>
      <xdr:row>0</xdr:row>
      <xdr:rowOff>76970</xdr:rowOff>
    </xdr:from>
    <xdr:to>
      <xdr:col>2</xdr:col>
      <xdr:colOff>241216</xdr:colOff>
      <xdr:row>6</xdr:row>
      <xdr:rowOff>108065</xdr:rowOff>
    </xdr:to>
    <xdr:pic>
      <xdr:nvPicPr>
        <xdr:cNvPr id="34" name="Picture 33">
          <a:extLst>
            <a:ext uri="{FF2B5EF4-FFF2-40B4-BE49-F238E27FC236}">
              <a16:creationId xmlns:a16="http://schemas.microsoft.com/office/drawing/2014/main" id="{322E309F-0681-46A1-A663-135962C8522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30971" y="76970"/>
          <a:ext cx="1126366" cy="1139459"/>
        </a:xfrm>
        <a:prstGeom prst="rect">
          <a:avLst/>
        </a:prstGeom>
      </xdr:spPr>
    </xdr:pic>
    <xdr:clientData/>
  </xdr:twoCellAnchor>
  <xdr:twoCellAnchor>
    <xdr:from>
      <xdr:col>0</xdr:col>
      <xdr:colOff>0</xdr:colOff>
      <xdr:row>16</xdr:row>
      <xdr:rowOff>21552</xdr:rowOff>
    </xdr:from>
    <xdr:to>
      <xdr:col>3</xdr:col>
      <xdr:colOff>407938</xdr:colOff>
      <xdr:row>19</xdr:row>
      <xdr:rowOff>29172</xdr:rowOff>
    </xdr:to>
    <xdr:sp macro="" textlink="">
      <xdr:nvSpPr>
        <xdr:cNvPr id="35" name="Flowchart: Terminator 34">
          <a:hlinkClick xmlns:r="http://schemas.openxmlformats.org/officeDocument/2006/relationships" r:id="rId6"/>
          <a:extLst>
            <a:ext uri="{FF2B5EF4-FFF2-40B4-BE49-F238E27FC236}">
              <a16:creationId xmlns:a16="http://schemas.microsoft.com/office/drawing/2014/main" id="{777886B3-25C3-474E-AE1C-DBC904942F86}"/>
            </a:ext>
          </a:extLst>
        </xdr:cNvPr>
        <xdr:cNvSpPr/>
      </xdr:nvSpPr>
      <xdr:spPr>
        <a:xfrm>
          <a:off x="0" y="2977188"/>
          <a:ext cx="2232120" cy="561802"/>
        </a:xfrm>
        <a:prstGeom prst="flowChartTermina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C7E2EC"/>
              </a:solidFill>
              <a:latin typeface="Aptos" panose="020B0004020202020204" pitchFamily="34" charset="0"/>
            </a:rPr>
            <a:t>Branch Analysis</a:t>
          </a:r>
        </a:p>
      </xdr:txBody>
    </xdr:sp>
    <xdr:clientData/>
  </xdr:twoCellAnchor>
  <xdr:twoCellAnchor>
    <xdr:from>
      <xdr:col>0</xdr:col>
      <xdr:colOff>0</xdr:colOff>
      <xdr:row>19</xdr:row>
      <xdr:rowOff>20012</xdr:rowOff>
    </xdr:from>
    <xdr:to>
      <xdr:col>3</xdr:col>
      <xdr:colOff>407938</xdr:colOff>
      <xdr:row>22</xdr:row>
      <xdr:rowOff>27632</xdr:rowOff>
    </xdr:to>
    <xdr:sp macro="" textlink="">
      <xdr:nvSpPr>
        <xdr:cNvPr id="37" name="Flowchart: Terminator 36">
          <a:hlinkClick xmlns:r="http://schemas.openxmlformats.org/officeDocument/2006/relationships" r:id="rId7"/>
          <a:extLst>
            <a:ext uri="{FF2B5EF4-FFF2-40B4-BE49-F238E27FC236}">
              <a16:creationId xmlns:a16="http://schemas.microsoft.com/office/drawing/2014/main" id="{B8970576-1F39-492C-A59E-6B7AA1FC9774}"/>
            </a:ext>
          </a:extLst>
        </xdr:cNvPr>
        <xdr:cNvSpPr/>
      </xdr:nvSpPr>
      <xdr:spPr>
        <a:xfrm>
          <a:off x="0" y="3529830"/>
          <a:ext cx="2232120" cy="561802"/>
        </a:xfrm>
        <a:prstGeom prst="flowChartTermina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C7E2EC"/>
              </a:solidFill>
              <a:latin typeface="Aptos" panose="020B0004020202020204" pitchFamily="34" charset="0"/>
            </a:rPr>
            <a:t>Product</a:t>
          </a:r>
          <a:r>
            <a:rPr lang="en-US" sz="1450" b="1" baseline="0">
              <a:solidFill>
                <a:srgbClr val="C7E2EC"/>
              </a:solidFill>
              <a:latin typeface="Aptos" panose="020B0004020202020204" pitchFamily="34" charset="0"/>
            </a:rPr>
            <a:t> </a:t>
          </a:r>
          <a:r>
            <a:rPr lang="en-US" sz="1450" b="1">
              <a:solidFill>
                <a:srgbClr val="C7E2EC"/>
              </a:solidFill>
              <a:latin typeface="Aptos" panose="020B0004020202020204" pitchFamily="34" charset="0"/>
            </a:rPr>
            <a:t>Analysis</a:t>
          </a:r>
        </a:p>
      </xdr:txBody>
    </xdr:sp>
    <xdr:clientData/>
  </xdr:twoCellAnchor>
  <xdr:twoCellAnchor>
    <xdr:from>
      <xdr:col>0</xdr:col>
      <xdr:colOff>0</xdr:colOff>
      <xdr:row>22</xdr:row>
      <xdr:rowOff>18472</xdr:rowOff>
    </xdr:from>
    <xdr:to>
      <xdr:col>3</xdr:col>
      <xdr:colOff>407938</xdr:colOff>
      <xdr:row>25</xdr:row>
      <xdr:rowOff>26092</xdr:rowOff>
    </xdr:to>
    <xdr:sp macro="" textlink="">
      <xdr:nvSpPr>
        <xdr:cNvPr id="39" name="Flowchart: Terminator 38">
          <a:hlinkClick xmlns:r="http://schemas.openxmlformats.org/officeDocument/2006/relationships" r:id="rId8"/>
          <a:extLst>
            <a:ext uri="{FF2B5EF4-FFF2-40B4-BE49-F238E27FC236}">
              <a16:creationId xmlns:a16="http://schemas.microsoft.com/office/drawing/2014/main" id="{85108373-F985-4688-8A5F-EDCC2AEA6564}"/>
            </a:ext>
          </a:extLst>
        </xdr:cNvPr>
        <xdr:cNvSpPr/>
      </xdr:nvSpPr>
      <xdr:spPr>
        <a:xfrm>
          <a:off x="0" y="4082472"/>
          <a:ext cx="2232120" cy="561802"/>
        </a:xfrm>
        <a:prstGeom prst="flowChartTermina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C7E2EC"/>
              </a:solidFill>
              <a:latin typeface="Aptos" panose="020B0004020202020204" pitchFamily="34" charset="0"/>
            </a:rPr>
            <a:t>Deeper</a:t>
          </a:r>
          <a:r>
            <a:rPr lang="en-US" sz="1450" b="1" baseline="0">
              <a:solidFill>
                <a:srgbClr val="C7E2EC"/>
              </a:solidFill>
              <a:latin typeface="Aptos" panose="020B0004020202020204" pitchFamily="34" charset="0"/>
            </a:rPr>
            <a:t> </a:t>
          </a:r>
          <a:r>
            <a:rPr lang="en-US" sz="1450" b="1">
              <a:solidFill>
                <a:srgbClr val="C7E2EC"/>
              </a:solidFill>
              <a:latin typeface="Aptos" panose="020B0004020202020204" pitchFamily="34" charset="0"/>
            </a:rPr>
            <a:t>Analysis</a:t>
          </a:r>
        </a:p>
      </xdr:txBody>
    </xdr:sp>
    <xdr:clientData/>
  </xdr:twoCellAnchor>
  <xdr:oneCellAnchor>
    <xdr:from>
      <xdr:col>3</xdr:col>
      <xdr:colOff>107758</xdr:colOff>
      <xdr:row>3</xdr:row>
      <xdr:rowOff>23090</xdr:rowOff>
    </xdr:from>
    <xdr:ext cx="12623030" cy="277064"/>
    <xdr:sp macro="" textlink="">
      <xdr:nvSpPr>
        <xdr:cNvPr id="3" name="TextBox 2">
          <a:extLst>
            <a:ext uri="{FF2B5EF4-FFF2-40B4-BE49-F238E27FC236}">
              <a16:creationId xmlns:a16="http://schemas.microsoft.com/office/drawing/2014/main" id="{869DC6AE-E59A-B2B2-D331-44738ACC7B14}"/>
            </a:ext>
          </a:extLst>
        </xdr:cNvPr>
        <xdr:cNvSpPr txBox="1"/>
      </xdr:nvSpPr>
      <xdr:spPr>
        <a:xfrm>
          <a:off x="1931940" y="577272"/>
          <a:ext cx="12623030" cy="277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i="1">
              <a:latin typeface="Bahnschrift Light" panose="020B0502040204020203" pitchFamily="34" charset="0"/>
            </a:rPr>
            <a:t>"An interactive overview of supermarket performance for the first quarter of 2019 (January–March), highlighting key KPIs, branch and product sales, and customer insights."</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0.5537</cdr:x>
      <cdr:y>0.07778</cdr:y>
    </cdr:from>
    <cdr:to>
      <cdr:x>1</cdr:x>
      <cdr:y>0.41111</cdr:y>
    </cdr:to>
    <cdr:sp macro="" textlink="">
      <cdr:nvSpPr>
        <cdr:cNvPr id="2" name="TextBox 1">
          <a:extLst xmlns:a="http://schemas.openxmlformats.org/drawingml/2006/main">
            <a:ext uri="{FF2B5EF4-FFF2-40B4-BE49-F238E27FC236}">
              <a16:creationId xmlns:a16="http://schemas.microsoft.com/office/drawing/2014/main" id="{51E0A386-23A8-E638-7291-78D1BEAB38FB}"/>
            </a:ext>
          </a:extLst>
        </cdr:cNvPr>
        <cdr:cNvSpPr txBox="1"/>
      </cdr:nvSpPr>
      <cdr:spPr>
        <a:xfrm xmlns:a="http://schemas.openxmlformats.org/drawingml/2006/main">
          <a:off x="1767840" y="213360"/>
          <a:ext cx="142494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cdr:x>
      <cdr:y>0.02077</cdr:y>
    </cdr:from>
    <cdr:to>
      <cdr:x>1</cdr:x>
      <cdr:y>0.18276</cdr:y>
    </cdr:to>
    <cdr:sp macro="" textlink="">
      <cdr:nvSpPr>
        <cdr:cNvPr id="3" name="TextBox 2">
          <a:extLst xmlns:a="http://schemas.openxmlformats.org/drawingml/2006/main">
            <a:ext uri="{FF2B5EF4-FFF2-40B4-BE49-F238E27FC236}">
              <a16:creationId xmlns:a16="http://schemas.microsoft.com/office/drawing/2014/main" id="{0A94075D-6531-B073-85D0-7A0E890A7A5C}"/>
            </a:ext>
          </a:extLst>
        </cdr:cNvPr>
        <cdr:cNvSpPr txBox="1"/>
      </cdr:nvSpPr>
      <cdr:spPr>
        <a:xfrm xmlns:a="http://schemas.openxmlformats.org/drawingml/2006/main">
          <a:off x="50800" y="50800"/>
          <a:ext cx="2720340" cy="39624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Aptos" panose="020B0004020202020204" pitchFamily="34" charset="0"/>
              <a:ea typeface="+mn-ea"/>
              <a:cs typeface="+mn-cs"/>
            </a:rPr>
            <a:t>Quantity Sold in Each</a:t>
          </a:r>
          <a:r>
            <a:rPr lang="en-US" sz="1400" b="1" baseline="0">
              <a:solidFill>
                <a:schemeClr val="tx1"/>
              </a:solidFill>
              <a:effectLst/>
              <a:latin typeface="Aptos" panose="020B0004020202020204" pitchFamily="34" charset="0"/>
              <a:ea typeface="+mn-ea"/>
              <a:cs typeface="+mn-cs"/>
            </a:rPr>
            <a:t> Branch</a:t>
          </a:r>
          <a:endParaRPr lang="en-US" sz="1400" b="1">
            <a:effectLst/>
            <a:latin typeface="Aptos" panose="020B0004020202020204" pitchFamily="34" charset="0"/>
          </a:endParaRPr>
        </a:p>
        <a:p xmlns:a="http://schemas.openxmlformats.org/drawingml/2006/main">
          <a:pPr algn="ctr"/>
          <a:endParaRPr lang="en-US" sz="1400" b="1">
            <a:latin typeface="Aptos" panose="020B0004020202020204" pitchFamily="34" charset="0"/>
          </a:endParaRPr>
        </a:p>
      </cdr:txBody>
    </cdr:sp>
  </cdr:relSizeAnchor>
  <cdr:relSizeAnchor xmlns:cdr="http://schemas.openxmlformats.org/drawingml/2006/chartDrawing">
    <cdr:from>
      <cdr:x>0.5537</cdr:x>
      <cdr:y>0.07778</cdr:y>
    </cdr:from>
    <cdr:to>
      <cdr:x>1</cdr:x>
      <cdr:y>0.41111</cdr:y>
    </cdr:to>
    <cdr:sp macro="" textlink="">
      <cdr:nvSpPr>
        <cdr:cNvPr id="4" name="TextBox 1">
          <a:extLst xmlns:a="http://schemas.openxmlformats.org/drawingml/2006/main">
            <a:ext uri="{FF2B5EF4-FFF2-40B4-BE49-F238E27FC236}">
              <a16:creationId xmlns:a16="http://schemas.microsoft.com/office/drawing/2014/main" id="{51E0A386-23A8-E638-7291-78D1BEAB38FB}"/>
            </a:ext>
          </a:extLst>
        </cdr:cNvPr>
        <cdr:cNvSpPr txBox="1"/>
      </cdr:nvSpPr>
      <cdr:spPr>
        <a:xfrm xmlns:a="http://schemas.openxmlformats.org/drawingml/2006/main">
          <a:off x="1767840" y="213360"/>
          <a:ext cx="142494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cdr:x>
      <cdr:y>0.02077</cdr:y>
    </cdr:from>
    <cdr:to>
      <cdr:x>1</cdr:x>
      <cdr:y>0.18276</cdr:y>
    </cdr:to>
    <cdr:sp macro="" textlink="">
      <cdr:nvSpPr>
        <cdr:cNvPr id="5" name="TextBox 2">
          <a:extLst xmlns:a="http://schemas.openxmlformats.org/drawingml/2006/main">
            <a:ext uri="{FF2B5EF4-FFF2-40B4-BE49-F238E27FC236}">
              <a16:creationId xmlns:a16="http://schemas.microsoft.com/office/drawing/2014/main" id="{0A94075D-6531-B073-85D0-7A0E890A7A5C}"/>
            </a:ext>
          </a:extLst>
        </cdr:cNvPr>
        <cdr:cNvSpPr txBox="1"/>
      </cdr:nvSpPr>
      <cdr:spPr>
        <a:xfrm xmlns:a="http://schemas.openxmlformats.org/drawingml/2006/main">
          <a:off x="50800" y="50800"/>
          <a:ext cx="2720340" cy="39624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Aptos" panose="020B0004020202020204" pitchFamily="34" charset="0"/>
              <a:ea typeface="+mn-ea"/>
              <a:cs typeface="+mn-cs"/>
            </a:rPr>
            <a:t>Quantity Sold in Each</a:t>
          </a:r>
          <a:r>
            <a:rPr lang="en-US" sz="1400" b="1" baseline="0">
              <a:solidFill>
                <a:schemeClr val="tx1"/>
              </a:solidFill>
              <a:effectLst/>
              <a:latin typeface="Aptos" panose="020B0004020202020204" pitchFamily="34" charset="0"/>
              <a:ea typeface="+mn-ea"/>
              <a:cs typeface="+mn-cs"/>
            </a:rPr>
            <a:t> Branch</a:t>
          </a:r>
          <a:endParaRPr lang="en-US" sz="1400" b="1">
            <a:effectLst/>
            <a:latin typeface="Aptos" panose="020B0004020202020204" pitchFamily="34" charset="0"/>
          </a:endParaRPr>
        </a:p>
        <a:p xmlns:a="http://schemas.openxmlformats.org/drawingml/2006/main">
          <a:pPr algn="ctr"/>
          <a:endParaRPr lang="en-US" sz="1400" b="1">
            <a:latin typeface="Aptos" panose="020B0004020202020204" pitchFamily="34" charset="0"/>
          </a:endParaRPr>
        </a:p>
      </cdr:txBody>
    </cdr:sp>
  </cdr:relSizeAnchor>
  <cdr:relSizeAnchor xmlns:cdr="http://schemas.openxmlformats.org/drawingml/2006/chartDrawing">
    <cdr:from>
      <cdr:x>0.5537</cdr:x>
      <cdr:y>0.07778</cdr:y>
    </cdr:from>
    <cdr:to>
      <cdr:x>1</cdr:x>
      <cdr:y>0.41111</cdr:y>
    </cdr:to>
    <cdr:sp macro="" textlink="">
      <cdr:nvSpPr>
        <cdr:cNvPr id="6" name="TextBox 1">
          <a:extLst xmlns:a="http://schemas.openxmlformats.org/drawingml/2006/main">
            <a:ext uri="{FF2B5EF4-FFF2-40B4-BE49-F238E27FC236}">
              <a16:creationId xmlns:a16="http://schemas.microsoft.com/office/drawing/2014/main" id="{51E0A386-23A8-E638-7291-78D1BEAB38FB}"/>
            </a:ext>
          </a:extLst>
        </cdr:cNvPr>
        <cdr:cNvSpPr txBox="1"/>
      </cdr:nvSpPr>
      <cdr:spPr>
        <a:xfrm xmlns:a="http://schemas.openxmlformats.org/drawingml/2006/main">
          <a:off x="1767840" y="213360"/>
          <a:ext cx="142494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cdr:x>
      <cdr:y>0.02077</cdr:y>
    </cdr:from>
    <cdr:to>
      <cdr:x>1</cdr:x>
      <cdr:y>0.18276</cdr:y>
    </cdr:to>
    <cdr:sp macro="" textlink="">
      <cdr:nvSpPr>
        <cdr:cNvPr id="7" name="TextBox 2">
          <a:extLst xmlns:a="http://schemas.openxmlformats.org/drawingml/2006/main">
            <a:ext uri="{FF2B5EF4-FFF2-40B4-BE49-F238E27FC236}">
              <a16:creationId xmlns:a16="http://schemas.microsoft.com/office/drawing/2014/main" id="{0A94075D-6531-B073-85D0-7A0E890A7A5C}"/>
            </a:ext>
          </a:extLst>
        </cdr:cNvPr>
        <cdr:cNvSpPr txBox="1"/>
      </cdr:nvSpPr>
      <cdr:spPr>
        <a:xfrm xmlns:a="http://schemas.openxmlformats.org/drawingml/2006/main">
          <a:off x="50800" y="50800"/>
          <a:ext cx="2720340" cy="39624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Aptos" panose="020B0004020202020204" pitchFamily="34" charset="0"/>
              <a:ea typeface="+mn-ea"/>
              <a:cs typeface="+mn-cs"/>
            </a:rPr>
            <a:t>Quantity Sold in Each</a:t>
          </a:r>
          <a:r>
            <a:rPr lang="en-US" sz="1400" b="1" baseline="0">
              <a:solidFill>
                <a:schemeClr val="tx1"/>
              </a:solidFill>
              <a:effectLst/>
              <a:latin typeface="Aptos" panose="020B0004020202020204" pitchFamily="34" charset="0"/>
              <a:ea typeface="+mn-ea"/>
              <a:cs typeface="+mn-cs"/>
            </a:rPr>
            <a:t> Branch</a:t>
          </a:r>
          <a:endParaRPr lang="en-US" sz="1400" b="1">
            <a:effectLst/>
            <a:latin typeface="Aptos" panose="020B0004020202020204" pitchFamily="34" charset="0"/>
          </a:endParaRPr>
        </a:p>
        <a:p xmlns:a="http://schemas.openxmlformats.org/drawingml/2006/main">
          <a:pPr algn="ctr"/>
          <a:endParaRPr lang="en-US" sz="1400" b="1">
            <a:latin typeface="Aptos" panose="020B0004020202020204" pitchFamily="34" charset="0"/>
          </a:endParaRPr>
        </a:p>
      </cdr:txBody>
    </cdr:sp>
  </cdr:relSizeAnchor>
  <cdr:relSizeAnchor xmlns:cdr="http://schemas.openxmlformats.org/drawingml/2006/chartDrawing">
    <cdr:from>
      <cdr:x>0.5537</cdr:x>
      <cdr:y>0.07778</cdr:y>
    </cdr:from>
    <cdr:to>
      <cdr:x>1</cdr:x>
      <cdr:y>0.41111</cdr:y>
    </cdr:to>
    <cdr:sp macro="" textlink="">
      <cdr:nvSpPr>
        <cdr:cNvPr id="8" name="TextBox 1">
          <a:extLst xmlns:a="http://schemas.openxmlformats.org/drawingml/2006/main">
            <a:ext uri="{FF2B5EF4-FFF2-40B4-BE49-F238E27FC236}">
              <a16:creationId xmlns:a16="http://schemas.microsoft.com/office/drawing/2014/main" id="{51E0A386-23A8-E638-7291-78D1BEAB38FB}"/>
            </a:ext>
          </a:extLst>
        </cdr:cNvPr>
        <cdr:cNvSpPr txBox="1"/>
      </cdr:nvSpPr>
      <cdr:spPr>
        <a:xfrm xmlns:a="http://schemas.openxmlformats.org/drawingml/2006/main">
          <a:off x="1767840" y="213360"/>
          <a:ext cx="142494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cdr:x>
      <cdr:y>0.02077</cdr:y>
    </cdr:from>
    <cdr:to>
      <cdr:x>1</cdr:x>
      <cdr:y>0.18276</cdr:y>
    </cdr:to>
    <cdr:sp macro="" textlink="">
      <cdr:nvSpPr>
        <cdr:cNvPr id="9" name="TextBox 2">
          <a:extLst xmlns:a="http://schemas.openxmlformats.org/drawingml/2006/main">
            <a:ext uri="{FF2B5EF4-FFF2-40B4-BE49-F238E27FC236}">
              <a16:creationId xmlns:a16="http://schemas.microsoft.com/office/drawing/2014/main" id="{0A94075D-6531-B073-85D0-7A0E890A7A5C}"/>
            </a:ext>
          </a:extLst>
        </cdr:cNvPr>
        <cdr:cNvSpPr txBox="1"/>
      </cdr:nvSpPr>
      <cdr:spPr>
        <a:xfrm xmlns:a="http://schemas.openxmlformats.org/drawingml/2006/main">
          <a:off x="50800" y="50800"/>
          <a:ext cx="2720340" cy="39624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Aptos" panose="020B0004020202020204" pitchFamily="34" charset="0"/>
              <a:ea typeface="+mn-ea"/>
              <a:cs typeface="+mn-cs"/>
            </a:rPr>
            <a:t>Quantity Sold in Each</a:t>
          </a:r>
          <a:r>
            <a:rPr lang="en-US" sz="1400" b="1" baseline="0">
              <a:solidFill>
                <a:schemeClr val="tx1"/>
              </a:solidFill>
              <a:effectLst/>
              <a:latin typeface="Aptos" panose="020B0004020202020204" pitchFamily="34" charset="0"/>
              <a:ea typeface="+mn-ea"/>
              <a:cs typeface="+mn-cs"/>
            </a:rPr>
            <a:t> Branch</a:t>
          </a:r>
          <a:endParaRPr lang="en-US" sz="1400" b="1">
            <a:effectLst/>
            <a:latin typeface="Aptos" panose="020B0004020202020204" pitchFamily="34" charset="0"/>
          </a:endParaRPr>
        </a:p>
        <a:p xmlns:a="http://schemas.openxmlformats.org/drawingml/2006/main">
          <a:pPr algn="ctr"/>
          <a:endParaRPr lang="en-US" sz="1400" b="1">
            <a:latin typeface="Aptos" panose="020B00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16</xdr:row>
      <xdr:rowOff>22552</xdr:rowOff>
    </xdr:from>
    <xdr:to>
      <xdr:col>3</xdr:col>
      <xdr:colOff>454120</xdr:colOff>
      <xdr:row>19</xdr:row>
      <xdr:rowOff>30172</xdr:rowOff>
    </xdr:to>
    <xdr:sp macro="" textlink="">
      <xdr:nvSpPr>
        <xdr:cNvPr id="32" name="Flowchart: Terminator 31">
          <a:extLst>
            <a:ext uri="{FF2B5EF4-FFF2-40B4-BE49-F238E27FC236}">
              <a16:creationId xmlns:a16="http://schemas.microsoft.com/office/drawing/2014/main" id="{4A367CD8-4BDC-4794-BEE7-F00223291CC3}"/>
            </a:ext>
          </a:extLst>
        </xdr:cNvPr>
        <xdr:cNvSpPr/>
      </xdr:nvSpPr>
      <xdr:spPr>
        <a:xfrm>
          <a:off x="0" y="2978188"/>
          <a:ext cx="2278302" cy="561802"/>
        </a:xfrm>
        <a:prstGeom prst="flowChartTerminator">
          <a:avLst/>
        </a:prstGeom>
        <a:solidFill>
          <a:srgbClr val="C7E2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274758"/>
              </a:solidFill>
              <a:latin typeface="Aptos" panose="020B0004020202020204" pitchFamily="34" charset="0"/>
            </a:rPr>
            <a:t>Branch</a:t>
          </a:r>
          <a:r>
            <a:rPr lang="en-US" sz="1450" b="1" baseline="0">
              <a:solidFill>
                <a:srgbClr val="274758"/>
              </a:solidFill>
              <a:latin typeface="Aptos" panose="020B0004020202020204" pitchFamily="34" charset="0"/>
            </a:rPr>
            <a:t> Analysis</a:t>
          </a:r>
          <a:endParaRPr lang="en-US" sz="1450" b="1">
            <a:solidFill>
              <a:srgbClr val="274758"/>
            </a:solidFill>
            <a:latin typeface="Aptos" panose="020B0004020202020204" pitchFamily="34" charset="0"/>
          </a:endParaRPr>
        </a:p>
      </xdr:txBody>
    </xdr:sp>
    <xdr:clientData/>
  </xdr:twoCellAnchor>
  <xdr:twoCellAnchor>
    <xdr:from>
      <xdr:col>0</xdr:col>
      <xdr:colOff>45643</xdr:colOff>
      <xdr:row>6</xdr:row>
      <xdr:rowOff>107449</xdr:rowOff>
    </xdr:from>
    <xdr:to>
      <xdr:col>2</xdr:col>
      <xdr:colOff>548563</xdr:colOff>
      <xdr:row>8</xdr:row>
      <xdr:rowOff>137930</xdr:rowOff>
    </xdr:to>
    <xdr:sp macro="" textlink="">
      <xdr:nvSpPr>
        <xdr:cNvPr id="3" name="Rectangle 2">
          <a:extLst>
            <a:ext uri="{FF2B5EF4-FFF2-40B4-BE49-F238E27FC236}">
              <a16:creationId xmlns:a16="http://schemas.microsoft.com/office/drawing/2014/main" id="{E5B0BD14-B9C8-4A0B-990F-39FABB2A3523}"/>
            </a:ext>
          </a:extLst>
        </xdr:cNvPr>
        <xdr:cNvSpPr/>
      </xdr:nvSpPr>
      <xdr:spPr>
        <a:xfrm>
          <a:off x="45643" y="1215813"/>
          <a:ext cx="1719041" cy="3999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Aptos" panose="020B0004020202020204" pitchFamily="34" charset="0"/>
              <a:cs typeface="Arial" panose="020B0604020202020204" pitchFamily="34" charset="0"/>
            </a:rPr>
            <a:t>Supermarket</a:t>
          </a:r>
        </a:p>
      </xdr:txBody>
    </xdr:sp>
    <xdr:clientData/>
  </xdr:twoCellAnchor>
  <xdr:twoCellAnchor>
    <xdr:from>
      <xdr:col>0</xdr:col>
      <xdr:colOff>0</xdr:colOff>
      <xdr:row>13</xdr:row>
      <xdr:rowOff>13932</xdr:rowOff>
    </xdr:from>
    <xdr:to>
      <xdr:col>3</xdr:col>
      <xdr:colOff>338666</xdr:colOff>
      <xdr:row>16</xdr:row>
      <xdr:rowOff>21553</xdr:rowOff>
    </xdr:to>
    <xdr:sp macro="" textlink="">
      <xdr:nvSpPr>
        <xdr:cNvPr id="7" name="Flowchart: Terminator 6">
          <a:hlinkClick xmlns:r="http://schemas.openxmlformats.org/officeDocument/2006/relationships" r:id="rId1"/>
          <a:extLst>
            <a:ext uri="{FF2B5EF4-FFF2-40B4-BE49-F238E27FC236}">
              <a16:creationId xmlns:a16="http://schemas.microsoft.com/office/drawing/2014/main" id="{F0489852-654B-41BC-AFC3-E4BEF2E1809C}"/>
            </a:ext>
          </a:extLst>
        </xdr:cNvPr>
        <xdr:cNvSpPr/>
      </xdr:nvSpPr>
      <xdr:spPr>
        <a:xfrm>
          <a:off x="0" y="2415387"/>
          <a:ext cx="2162848" cy="561802"/>
        </a:xfrm>
        <a:prstGeom prst="flowChartTermina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C7E2EC"/>
              </a:solidFill>
              <a:latin typeface="Aptos" panose="020B0004020202020204" pitchFamily="34" charset="0"/>
            </a:rPr>
            <a:t>Dashboard</a:t>
          </a:r>
        </a:p>
      </xdr:txBody>
    </xdr:sp>
    <xdr:clientData/>
  </xdr:twoCellAnchor>
  <xdr:twoCellAnchor editAs="oneCell">
    <xdr:from>
      <xdr:col>18</xdr:col>
      <xdr:colOff>490621</xdr:colOff>
      <xdr:row>0</xdr:row>
      <xdr:rowOff>28433</xdr:rowOff>
    </xdr:from>
    <xdr:to>
      <xdr:col>19</xdr:col>
      <xdr:colOff>391561</xdr:colOff>
      <xdr:row>2</xdr:row>
      <xdr:rowOff>176908</xdr:rowOff>
    </xdr:to>
    <xdr:pic>
      <xdr:nvPicPr>
        <xdr:cNvPr id="12" name="Picture 11">
          <a:extLst>
            <a:ext uri="{FF2B5EF4-FFF2-40B4-BE49-F238E27FC236}">
              <a16:creationId xmlns:a16="http://schemas.microsoft.com/office/drawing/2014/main" id="{8F1C6D7A-D5AD-4224-8087-D44415B6E0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059773" y="28433"/>
          <a:ext cx="509001" cy="517930"/>
        </a:xfrm>
        <a:prstGeom prst="rect">
          <a:avLst/>
        </a:prstGeom>
      </xdr:spPr>
    </xdr:pic>
    <xdr:clientData/>
  </xdr:twoCellAnchor>
  <xdr:twoCellAnchor>
    <xdr:from>
      <xdr:col>6</xdr:col>
      <xdr:colOff>350173</xdr:colOff>
      <xdr:row>11</xdr:row>
      <xdr:rowOff>365</xdr:rowOff>
    </xdr:from>
    <xdr:to>
      <xdr:col>9</xdr:col>
      <xdr:colOff>153939</xdr:colOff>
      <xdr:row>24</xdr:row>
      <xdr:rowOff>30787</xdr:rowOff>
    </xdr:to>
    <xdr:graphicFrame macro="">
      <xdr:nvGraphicFramePr>
        <xdr:cNvPr id="5" name="Chart 4">
          <a:extLst>
            <a:ext uri="{FF2B5EF4-FFF2-40B4-BE49-F238E27FC236}">
              <a16:creationId xmlns:a16="http://schemas.microsoft.com/office/drawing/2014/main" id="{80C5B40D-C5B1-4665-9EEF-200F676AB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139552</xdr:colOff>
      <xdr:row>11</xdr:row>
      <xdr:rowOff>212</xdr:rowOff>
    </xdr:from>
    <xdr:to>
      <xdr:col>6</xdr:col>
      <xdr:colOff>246303</xdr:colOff>
      <xdr:row>24</xdr:row>
      <xdr:rowOff>15392</xdr:rowOff>
    </xdr:to>
    <xdr:graphicFrame macro="">
      <xdr:nvGraphicFramePr>
        <xdr:cNvPr id="6" name="Chart 5">
          <a:extLst>
            <a:ext uri="{FF2B5EF4-FFF2-40B4-BE49-F238E27FC236}">
              <a16:creationId xmlns:a16="http://schemas.microsoft.com/office/drawing/2014/main" id="{6D17A5A7-7535-467D-A535-AF6B1DF44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300840</xdr:colOff>
      <xdr:row>11</xdr:row>
      <xdr:rowOff>38485</xdr:rowOff>
    </xdr:from>
    <xdr:to>
      <xdr:col>19</xdr:col>
      <xdr:colOff>346362</xdr:colOff>
      <xdr:row>24</xdr:row>
      <xdr:rowOff>38485</xdr:rowOff>
    </xdr:to>
    <xdr:graphicFrame macro="">
      <xdr:nvGraphicFramePr>
        <xdr:cNvPr id="11" name="Chart 10">
          <a:extLst>
            <a:ext uri="{FF2B5EF4-FFF2-40B4-BE49-F238E27FC236}">
              <a16:creationId xmlns:a16="http://schemas.microsoft.com/office/drawing/2014/main" id="{627615CC-3D91-452C-938D-2B79AF58B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341166</xdr:colOff>
      <xdr:row>4</xdr:row>
      <xdr:rowOff>91063</xdr:rowOff>
    </xdr:from>
    <xdr:to>
      <xdr:col>18</xdr:col>
      <xdr:colOff>263441</xdr:colOff>
      <xdr:row>7</xdr:row>
      <xdr:rowOff>117277</xdr:rowOff>
    </xdr:to>
    <xdr:sp macro="" textlink="">
      <xdr:nvSpPr>
        <xdr:cNvPr id="21" name="Rectangle: Rounded Corners 20">
          <a:extLst>
            <a:ext uri="{FF2B5EF4-FFF2-40B4-BE49-F238E27FC236}">
              <a16:creationId xmlns:a16="http://schemas.microsoft.com/office/drawing/2014/main" id="{04CB6800-FFF5-44C8-ABA4-FC8AE31C82E8}"/>
            </a:ext>
          </a:extLst>
        </xdr:cNvPr>
        <xdr:cNvSpPr/>
      </xdr:nvSpPr>
      <xdr:spPr>
        <a:xfrm>
          <a:off x="11086136" y="829972"/>
          <a:ext cx="1746457" cy="580396"/>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361971</xdr:colOff>
      <xdr:row>5</xdr:row>
      <xdr:rowOff>166507</xdr:rowOff>
    </xdr:from>
    <xdr:to>
      <xdr:col>18</xdr:col>
      <xdr:colOff>238604</xdr:colOff>
      <xdr:row>7</xdr:row>
      <xdr:rowOff>74763</xdr:rowOff>
    </xdr:to>
    <xdr:sp macro="" textlink="">
      <xdr:nvSpPr>
        <xdr:cNvPr id="22" name="Rectangle 21">
          <a:extLst>
            <a:ext uri="{FF2B5EF4-FFF2-40B4-BE49-F238E27FC236}">
              <a16:creationId xmlns:a16="http://schemas.microsoft.com/office/drawing/2014/main" id="{E319997B-1D78-4EB5-81D9-65887D3B9E07}"/>
            </a:ext>
          </a:extLst>
        </xdr:cNvPr>
        <xdr:cNvSpPr/>
      </xdr:nvSpPr>
      <xdr:spPr>
        <a:xfrm>
          <a:off x="11106941" y="1090143"/>
          <a:ext cx="1700815" cy="2777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n>
                <a:solidFill>
                  <a:srgbClr val="274758"/>
                </a:solidFill>
              </a:ln>
              <a:solidFill>
                <a:srgbClr val="C7E2EC"/>
              </a:solidFill>
            </a:rPr>
            <a:t>Lowest</a:t>
          </a:r>
          <a:r>
            <a:rPr lang="en-US" sz="2000" b="1" baseline="0">
              <a:ln>
                <a:solidFill>
                  <a:srgbClr val="274758"/>
                </a:solidFill>
              </a:ln>
              <a:solidFill>
                <a:srgbClr val="C7E2EC"/>
              </a:solidFill>
            </a:rPr>
            <a:t> Rating</a:t>
          </a:r>
          <a:endParaRPr lang="en-US" sz="2000" b="1">
            <a:ln>
              <a:solidFill>
                <a:srgbClr val="274758"/>
              </a:solidFill>
            </a:ln>
            <a:solidFill>
              <a:srgbClr val="C7E2EC"/>
            </a:solidFill>
          </a:endParaRPr>
        </a:p>
      </xdr:txBody>
    </xdr:sp>
    <xdr:clientData/>
  </xdr:twoCellAnchor>
  <xdr:twoCellAnchor>
    <xdr:from>
      <xdr:col>15</xdr:col>
      <xdr:colOff>378890</xdr:colOff>
      <xdr:row>4</xdr:row>
      <xdr:rowOff>23161</xdr:rowOff>
    </xdr:from>
    <xdr:to>
      <xdr:col>18</xdr:col>
      <xdr:colOff>263065</xdr:colOff>
      <xdr:row>6</xdr:row>
      <xdr:rowOff>129537</xdr:rowOff>
    </xdr:to>
    <xdr:sp macro="" textlink="Dashboard_Total_Sales!B13">
      <xdr:nvSpPr>
        <xdr:cNvPr id="23" name="Rectangle 22">
          <a:extLst>
            <a:ext uri="{FF2B5EF4-FFF2-40B4-BE49-F238E27FC236}">
              <a16:creationId xmlns:a16="http://schemas.microsoft.com/office/drawing/2014/main" id="{D2C27266-E689-4C08-BD6D-E71776196E3C}"/>
            </a:ext>
          </a:extLst>
        </xdr:cNvPr>
        <xdr:cNvSpPr/>
      </xdr:nvSpPr>
      <xdr:spPr>
        <a:xfrm>
          <a:off x="11152514" y="747438"/>
          <a:ext cx="1717501" cy="4685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Calibri"/>
              <a:ea typeface="Calibri"/>
              <a:cs typeface="Calibri"/>
            </a:rPr>
            <a:t>Branch</a:t>
          </a:r>
          <a:r>
            <a:rPr lang="en-US" sz="1800" b="1" i="0" u="none" strike="noStrike" baseline="0">
              <a:solidFill>
                <a:srgbClr val="000000"/>
              </a:solidFill>
              <a:latin typeface="Calibri"/>
              <a:ea typeface="Calibri"/>
              <a:cs typeface="Calibri"/>
            </a:rPr>
            <a:t> B</a:t>
          </a:r>
          <a:endParaRPr lang="en-US" sz="3600" b="1">
            <a:solidFill>
              <a:schemeClr val="tx1">
                <a:lumMod val="95000"/>
                <a:lumOff val="5000"/>
              </a:schemeClr>
            </a:solidFill>
          </a:endParaRPr>
        </a:p>
      </xdr:txBody>
    </xdr:sp>
    <xdr:clientData/>
  </xdr:twoCellAnchor>
  <xdr:twoCellAnchor>
    <xdr:from>
      <xdr:col>9</xdr:col>
      <xdr:colOff>200487</xdr:colOff>
      <xdr:row>4</xdr:row>
      <xdr:rowOff>122613</xdr:rowOff>
    </xdr:from>
    <xdr:to>
      <xdr:col>12</xdr:col>
      <xdr:colOff>122762</xdr:colOff>
      <xdr:row>7</xdr:row>
      <xdr:rowOff>148827</xdr:rowOff>
    </xdr:to>
    <xdr:sp macro="" textlink="">
      <xdr:nvSpPr>
        <xdr:cNvPr id="24" name="Rectangle: Rounded Corners 23">
          <a:extLst>
            <a:ext uri="{FF2B5EF4-FFF2-40B4-BE49-F238E27FC236}">
              <a16:creationId xmlns:a16="http://schemas.microsoft.com/office/drawing/2014/main" id="{C18673C7-E1C7-4811-A80D-2CAC65C87EF9}"/>
            </a:ext>
          </a:extLst>
        </xdr:cNvPr>
        <xdr:cNvSpPr/>
      </xdr:nvSpPr>
      <xdr:spPr>
        <a:xfrm>
          <a:off x="7297093" y="861522"/>
          <a:ext cx="1746457" cy="580396"/>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292850</xdr:colOff>
      <xdr:row>4</xdr:row>
      <xdr:rowOff>114916</xdr:rowOff>
    </xdr:from>
    <xdr:to>
      <xdr:col>15</xdr:col>
      <xdr:colOff>215125</xdr:colOff>
      <xdr:row>7</xdr:row>
      <xdr:rowOff>141130</xdr:rowOff>
    </xdr:to>
    <xdr:sp macro="" textlink="">
      <xdr:nvSpPr>
        <xdr:cNvPr id="25" name="Rectangle: Rounded Corners 24">
          <a:extLst>
            <a:ext uri="{FF2B5EF4-FFF2-40B4-BE49-F238E27FC236}">
              <a16:creationId xmlns:a16="http://schemas.microsoft.com/office/drawing/2014/main" id="{E9234E92-6F5A-444D-B715-4AF30483CDE4}"/>
            </a:ext>
          </a:extLst>
        </xdr:cNvPr>
        <xdr:cNvSpPr/>
      </xdr:nvSpPr>
      <xdr:spPr>
        <a:xfrm>
          <a:off x="9213638" y="853825"/>
          <a:ext cx="1746457" cy="580396"/>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228991</xdr:colOff>
      <xdr:row>6</xdr:row>
      <xdr:rowOff>9672</xdr:rowOff>
    </xdr:from>
    <xdr:to>
      <xdr:col>15</xdr:col>
      <xdr:colOff>292485</xdr:colOff>
      <xdr:row>7</xdr:row>
      <xdr:rowOff>102656</xdr:rowOff>
    </xdr:to>
    <xdr:sp macro="" textlink="">
      <xdr:nvSpPr>
        <xdr:cNvPr id="26" name="Rectangle 25">
          <a:extLst>
            <a:ext uri="{FF2B5EF4-FFF2-40B4-BE49-F238E27FC236}">
              <a16:creationId xmlns:a16="http://schemas.microsoft.com/office/drawing/2014/main" id="{E16AF20A-2098-4D2F-9CCE-04E57ED95A23}"/>
            </a:ext>
          </a:extLst>
        </xdr:cNvPr>
        <xdr:cNvSpPr/>
      </xdr:nvSpPr>
      <xdr:spPr>
        <a:xfrm>
          <a:off x="9149779" y="1118036"/>
          <a:ext cx="1887676" cy="2777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baseline="0">
              <a:ln>
                <a:solidFill>
                  <a:srgbClr val="274758"/>
                </a:solidFill>
              </a:ln>
              <a:solidFill>
                <a:srgbClr val="C7E2EC"/>
              </a:solidFill>
            </a:rPr>
            <a:t>Volume Leader</a:t>
          </a:r>
          <a:endParaRPr lang="en-US" sz="2000" b="1">
            <a:ln>
              <a:solidFill>
                <a:srgbClr val="274758"/>
              </a:solidFill>
            </a:ln>
            <a:solidFill>
              <a:srgbClr val="C7E2EC"/>
            </a:solidFill>
          </a:endParaRPr>
        </a:p>
      </xdr:txBody>
    </xdr:sp>
    <xdr:clientData/>
  </xdr:twoCellAnchor>
  <xdr:twoCellAnchor>
    <xdr:from>
      <xdr:col>9</xdr:col>
      <xdr:colOff>335209</xdr:colOff>
      <xdr:row>6</xdr:row>
      <xdr:rowOff>435</xdr:rowOff>
    </xdr:from>
    <xdr:to>
      <xdr:col>12</xdr:col>
      <xdr:colOff>69487</xdr:colOff>
      <xdr:row>7</xdr:row>
      <xdr:rowOff>93419</xdr:rowOff>
    </xdr:to>
    <xdr:sp macro="" textlink="">
      <xdr:nvSpPr>
        <xdr:cNvPr id="27" name="Rectangle 26">
          <a:extLst>
            <a:ext uri="{FF2B5EF4-FFF2-40B4-BE49-F238E27FC236}">
              <a16:creationId xmlns:a16="http://schemas.microsoft.com/office/drawing/2014/main" id="{9B51B355-EC51-4C86-AFED-A1BF024067E3}"/>
            </a:ext>
          </a:extLst>
        </xdr:cNvPr>
        <xdr:cNvSpPr/>
      </xdr:nvSpPr>
      <xdr:spPr>
        <a:xfrm>
          <a:off x="7431815" y="1108799"/>
          <a:ext cx="1558460" cy="2777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n>
                <a:solidFill>
                  <a:srgbClr val="274758"/>
                </a:solidFill>
              </a:ln>
              <a:solidFill>
                <a:srgbClr val="C7E2EC"/>
              </a:solidFill>
            </a:rPr>
            <a:t>Sales</a:t>
          </a:r>
          <a:r>
            <a:rPr lang="en-US" sz="2000" b="1" baseline="0">
              <a:ln>
                <a:solidFill>
                  <a:srgbClr val="274758"/>
                </a:solidFill>
              </a:ln>
              <a:solidFill>
                <a:srgbClr val="C7E2EC"/>
              </a:solidFill>
            </a:rPr>
            <a:t> Leader</a:t>
          </a:r>
          <a:endParaRPr lang="en-US" sz="2000" b="1">
            <a:ln>
              <a:solidFill>
                <a:srgbClr val="274758"/>
              </a:solidFill>
            </a:ln>
            <a:solidFill>
              <a:srgbClr val="C7E2EC"/>
            </a:solidFill>
          </a:endParaRPr>
        </a:p>
      </xdr:txBody>
    </xdr:sp>
    <xdr:clientData/>
  </xdr:twoCellAnchor>
  <xdr:twoCellAnchor>
    <xdr:from>
      <xdr:col>9</xdr:col>
      <xdr:colOff>215121</xdr:colOff>
      <xdr:row>4</xdr:row>
      <xdr:rowOff>77802</xdr:rowOff>
    </xdr:from>
    <xdr:to>
      <xdr:col>12</xdr:col>
      <xdr:colOff>99296</xdr:colOff>
      <xdr:row>6</xdr:row>
      <xdr:rowOff>184178</xdr:rowOff>
    </xdr:to>
    <xdr:sp macro="" textlink="Dashboard_Total_Sales!B13">
      <xdr:nvSpPr>
        <xdr:cNvPr id="28" name="Rectangle 27">
          <a:extLst>
            <a:ext uri="{FF2B5EF4-FFF2-40B4-BE49-F238E27FC236}">
              <a16:creationId xmlns:a16="http://schemas.microsoft.com/office/drawing/2014/main" id="{30C0B1D7-992B-43A8-802E-0742532D8FED}"/>
            </a:ext>
          </a:extLst>
        </xdr:cNvPr>
        <xdr:cNvSpPr/>
      </xdr:nvSpPr>
      <xdr:spPr>
        <a:xfrm>
          <a:off x="7311727" y="816711"/>
          <a:ext cx="1708357" cy="4758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Calibri"/>
              <a:ea typeface="Calibri"/>
              <a:cs typeface="Calibri"/>
            </a:rPr>
            <a:t>Branch</a:t>
          </a:r>
          <a:r>
            <a:rPr lang="en-US" sz="1800" b="1" i="0" u="none" strike="noStrike" baseline="0">
              <a:solidFill>
                <a:srgbClr val="000000"/>
              </a:solidFill>
              <a:latin typeface="Calibri"/>
              <a:ea typeface="Calibri"/>
              <a:cs typeface="Calibri"/>
            </a:rPr>
            <a:t> C</a:t>
          </a:r>
          <a:endParaRPr lang="en-US" sz="3600" b="1">
            <a:solidFill>
              <a:schemeClr val="tx1">
                <a:lumMod val="95000"/>
                <a:lumOff val="5000"/>
              </a:schemeClr>
            </a:solidFill>
          </a:endParaRPr>
        </a:p>
      </xdr:txBody>
    </xdr:sp>
    <xdr:clientData/>
  </xdr:twoCellAnchor>
  <xdr:twoCellAnchor>
    <xdr:from>
      <xdr:col>12</xdr:col>
      <xdr:colOff>329036</xdr:colOff>
      <xdr:row>4</xdr:row>
      <xdr:rowOff>53171</xdr:rowOff>
    </xdr:from>
    <xdr:to>
      <xdr:col>15</xdr:col>
      <xdr:colOff>213211</xdr:colOff>
      <xdr:row>6</xdr:row>
      <xdr:rowOff>159547</xdr:rowOff>
    </xdr:to>
    <xdr:sp macro="" textlink="Dashboard_Total_Sales!B13">
      <xdr:nvSpPr>
        <xdr:cNvPr id="29" name="Rectangle 28">
          <a:extLst>
            <a:ext uri="{FF2B5EF4-FFF2-40B4-BE49-F238E27FC236}">
              <a16:creationId xmlns:a16="http://schemas.microsoft.com/office/drawing/2014/main" id="{71F07F81-A67F-425B-A4A8-5D3F89636E25}"/>
            </a:ext>
          </a:extLst>
        </xdr:cNvPr>
        <xdr:cNvSpPr/>
      </xdr:nvSpPr>
      <xdr:spPr>
        <a:xfrm>
          <a:off x="9249824" y="792080"/>
          <a:ext cx="1708357" cy="4758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Calibri"/>
              <a:ea typeface="Calibri"/>
              <a:cs typeface="Calibri"/>
            </a:rPr>
            <a:t>Branch</a:t>
          </a:r>
          <a:r>
            <a:rPr lang="en-US" sz="1800" b="1" i="0" u="none" strike="noStrike" baseline="0">
              <a:solidFill>
                <a:srgbClr val="000000"/>
              </a:solidFill>
              <a:latin typeface="Calibri"/>
              <a:ea typeface="Calibri"/>
              <a:cs typeface="Calibri"/>
            </a:rPr>
            <a:t> A</a:t>
          </a:r>
          <a:endParaRPr lang="en-US" sz="3600" b="1">
            <a:solidFill>
              <a:schemeClr val="tx1">
                <a:lumMod val="95000"/>
                <a:lumOff val="5000"/>
              </a:schemeClr>
            </a:solidFill>
          </a:endParaRPr>
        </a:p>
      </xdr:txBody>
    </xdr:sp>
    <xdr:clientData/>
  </xdr:twoCellAnchor>
  <xdr:twoCellAnchor>
    <xdr:from>
      <xdr:col>9</xdr:col>
      <xdr:colOff>223212</xdr:colOff>
      <xdr:row>11</xdr:row>
      <xdr:rowOff>15394</xdr:rowOff>
    </xdr:from>
    <xdr:to>
      <xdr:col>14</xdr:col>
      <xdr:colOff>230909</xdr:colOff>
      <xdr:row>24</xdr:row>
      <xdr:rowOff>30787</xdr:rowOff>
    </xdr:to>
    <xdr:graphicFrame macro="">
      <xdr:nvGraphicFramePr>
        <xdr:cNvPr id="31" name="Chart 30">
          <a:extLst>
            <a:ext uri="{FF2B5EF4-FFF2-40B4-BE49-F238E27FC236}">
              <a16:creationId xmlns:a16="http://schemas.microsoft.com/office/drawing/2014/main" id="{F258E592-6059-4DF3-93F2-F093050D2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18</xdr:row>
      <xdr:rowOff>159558</xdr:rowOff>
    </xdr:from>
    <xdr:to>
      <xdr:col>3</xdr:col>
      <xdr:colOff>407938</xdr:colOff>
      <xdr:row>21</xdr:row>
      <xdr:rowOff>167178</xdr:rowOff>
    </xdr:to>
    <xdr:sp macro="" textlink="">
      <xdr:nvSpPr>
        <xdr:cNvPr id="33" name="Flowchart: Terminator 32">
          <a:hlinkClick xmlns:r="http://schemas.openxmlformats.org/officeDocument/2006/relationships" r:id="rId7"/>
          <a:extLst>
            <a:ext uri="{FF2B5EF4-FFF2-40B4-BE49-F238E27FC236}">
              <a16:creationId xmlns:a16="http://schemas.microsoft.com/office/drawing/2014/main" id="{1F474150-75FC-40A1-B8D6-AFF3B8622DF7}"/>
            </a:ext>
          </a:extLst>
        </xdr:cNvPr>
        <xdr:cNvSpPr/>
      </xdr:nvSpPr>
      <xdr:spPr>
        <a:xfrm>
          <a:off x="0" y="3484649"/>
          <a:ext cx="2232120" cy="561802"/>
        </a:xfrm>
        <a:prstGeom prst="flowChartTermina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C7E2EC"/>
              </a:solidFill>
              <a:latin typeface="Aptos" panose="020B0004020202020204" pitchFamily="34" charset="0"/>
            </a:rPr>
            <a:t>Product Analysis</a:t>
          </a:r>
        </a:p>
      </xdr:txBody>
    </xdr:sp>
    <xdr:clientData/>
  </xdr:twoCellAnchor>
  <xdr:twoCellAnchor>
    <xdr:from>
      <xdr:col>0</xdr:col>
      <xdr:colOff>0</xdr:colOff>
      <xdr:row>22</xdr:row>
      <xdr:rowOff>34868</xdr:rowOff>
    </xdr:from>
    <xdr:to>
      <xdr:col>3</xdr:col>
      <xdr:colOff>561879</xdr:colOff>
      <xdr:row>24</xdr:row>
      <xdr:rowOff>177030</xdr:rowOff>
    </xdr:to>
    <xdr:sp macro="" textlink="">
      <xdr:nvSpPr>
        <xdr:cNvPr id="34" name="Flowchart: Terminator 33">
          <a:hlinkClick xmlns:r="http://schemas.openxmlformats.org/officeDocument/2006/relationships" r:id="rId8"/>
          <a:extLst>
            <a:ext uri="{FF2B5EF4-FFF2-40B4-BE49-F238E27FC236}">
              <a16:creationId xmlns:a16="http://schemas.microsoft.com/office/drawing/2014/main" id="{840D2D52-DB02-478F-9F69-2F3CBD11377A}"/>
            </a:ext>
          </a:extLst>
        </xdr:cNvPr>
        <xdr:cNvSpPr/>
      </xdr:nvSpPr>
      <xdr:spPr>
        <a:xfrm>
          <a:off x="0" y="4098868"/>
          <a:ext cx="2386061" cy="511617"/>
        </a:xfrm>
        <a:prstGeom prst="flowChartTermina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C7E2EC"/>
              </a:solidFill>
              <a:latin typeface="Aptos" panose="020B0004020202020204" pitchFamily="34" charset="0"/>
            </a:rPr>
            <a:t>Deeper Analysis</a:t>
          </a:r>
        </a:p>
      </xdr:txBody>
    </xdr:sp>
    <xdr:clientData/>
  </xdr:twoCellAnchor>
  <xdr:twoCellAnchor editAs="oneCell">
    <xdr:from>
      <xdr:col>0</xdr:col>
      <xdr:colOff>330971</xdr:colOff>
      <xdr:row>0</xdr:row>
      <xdr:rowOff>76970</xdr:rowOff>
    </xdr:from>
    <xdr:to>
      <xdr:col>2</xdr:col>
      <xdr:colOff>241216</xdr:colOff>
      <xdr:row>6</xdr:row>
      <xdr:rowOff>108065</xdr:rowOff>
    </xdr:to>
    <xdr:pic>
      <xdr:nvPicPr>
        <xdr:cNvPr id="36" name="Picture 35">
          <a:extLst>
            <a:ext uri="{FF2B5EF4-FFF2-40B4-BE49-F238E27FC236}">
              <a16:creationId xmlns:a16="http://schemas.microsoft.com/office/drawing/2014/main" id="{284E9912-A2FB-4BFA-814D-49AA7C8E40F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30971" y="76970"/>
          <a:ext cx="1126366" cy="1139459"/>
        </a:xfrm>
        <a:prstGeom prst="rect">
          <a:avLst/>
        </a:prstGeom>
      </xdr:spPr>
    </xdr:pic>
    <xdr:clientData/>
  </xdr:twoCellAnchor>
  <xdr:oneCellAnchor>
    <xdr:from>
      <xdr:col>2</xdr:col>
      <xdr:colOff>608060</xdr:colOff>
      <xdr:row>9</xdr:row>
      <xdr:rowOff>46182</xdr:rowOff>
    </xdr:from>
    <xdr:ext cx="12753880" cy="311496"/>
    <xdr:sp macro="" textlink="">
      <xdr:nvSpPr>
        <xdr:cNvPr id="2" name="TextBox 1">
          <a:extLst>
            <a:ext uri="{FF2B5EF4-FFF2-40B4-BE49-F238E27FC236}">
              <a16:creationId xmlns:a16="http://schemas.microsoft.com/office/drawing/2014/main" id="{8544DE59-5828-7117-AFE0-9E6D9E487DA4}"/>
            </a:ext>
          </a:extLst>
        </xdr:cNvPr>
        <xdr:cNvSpPr txBox="1"/>
      </xdr:nvSpPr>
      <xdr:spPr>
        <a:xfrm>
          <a:off x="1824181" y="1708727"/>
          <a:ext cx="1275388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"Branch A has the highest quantity sold but the lowest total sales.</a:t>
          </a:r>
          <a:r>
            <a:rPr lang="en-US" sz="1400" b="1" baseline="0"/>
            <a:t> The difference is influenced by the unit price, as Branch A has a relatively higher average unit price."</a:t>
          </a:r>
          <a:endParaRPr lang="en-US" sz="1400" b="1"/>
        </a:p>
      </xdr:txBody>
    </xdr:sp>
    <xdr:clientData/>
  </xdr:oneCellAnchor>
  <xdr:oneCellAnchor>
    <xdr:from>
      <xdr:col>3</xdr:col>
      <xdr:colOff>346366</xdr:colOff>
      <xdr:row>23</xdr:row>
      <xdr:rowOff>177031</xdr:rowOff>
    </xdr:from>
    <xdr:ext cx="2824785" cy="609013"/>
    <xdr:sp macro="" textlink="">
      <xdr:nvSpPr>
        <xdr:cNvPr id="4" name="TextBox 3">
          <a:extLst>
            <a:ext uri="{FF2B5EF4-FFF2-40B4-BE49-F238E27FC236}">
              <a16:creationId xmlns:a16="http://schemas.microsoft.com/office/drawing/2014/main" id="{F44E03CC-A5FD-52CB-39F0-4EE8442248A9}"/>
            </a:ext>
          </a:extLst>
        </xdr:cNvPr>
        <xdr:cNvSpPr txBox="1"/>
      </xdr:nvSpPr>
      <xdr:spPr>
        <a:xfrm>
          <a:off x="2170548" y="4425758"/>
          <a:ext cx="282478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a:t>Branch C Generates the highest sales despite selling fewer units than Branch A, indicating</a:t>
          </a:r>
          <a:r>
            <a:rPr lang="en-US" sz="1100" b="0" baseline="0"/>
            <a:t> higher revenue generates per unit sold.</a:t>
          </a:r>
          <a:endParaRPr lang="en-US" sz="1100" b="0"/>
        </a:p>
      </xdr:txBody>
    </xdr:sp>
    <xdr:clientData/>
  </xdr:oneCellAnchor>
  <xdr:oneCellAnchor>
    <xdr:from>
      <xdr:col>7</xdr:col>
      <xdr:colOff>737370</xdr:colOff>
      <xdr:row>24</xdr:row>
      <xdr:rowOff>44641</xdr:rowOff>
    </xdr:from>
    <xdr:ext cx="3672993" cy="609013"/>
    <xdr:sp macro="" textlink="">
      <xdr:nvSpPr>
        <xdr:cNvPr id="8" name="TextBox 7">
          <a:extLst>
            <a:ext uri="{FF2B5EF4-FFF2-40B4-BE49-F238E27FC236}">
              <a16:creationId xmlns:a16="http://schemas.microsoft.com/office/drawing/2014/main" id="{F2E9AE6F-887C-4342-B5FC-FB66A507610E}"/>
            </a:ext>
          </a:extLst>
        </xdr:cNvPr>
        <xdr:cNvSpPr txBox="1"/>
      </xdr:nvSpPr>
      <xdr:spPr>
        <a:xfrm>
          <a:off x="5886643" y="4478096"/>
          <a:ext cx="3672993"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0"/>
            <a:t>Branch B records</a:t>
          </a:r>
          <a:r>
            <a:rPr lang="en-US" sz="1100" b="0" baseline="0"/>
            <a:t> the lowest average customer rating among the 3 branches, suggesting an aera for improvement in customer satisfaction. </a:t>
          </a:r>
          <a:endParaRPr lang="en-US" sz="1100" b="0"/>
        </a:p>
      </xdr:txBody>
    </xdr:sp>
    <xdr:clientData/>
  </xdr:oneCellAnchor>
  <xdr:oneCellAnchor>
    <xdr:from>
      <xdr:col>14</xdr:col>
      <xdr:colOff>135468</xdr:colOff>
      <xdr:row>24</xdr:row>
      <xdr:rowOff>27708</xdr:rowOff>
    </xdr:from>
    <xdr:ext cx="3672993" cy="609013"/>
    <xdr:sp macro="" textlink="">
      <xdr:nvSpPr>
        <xdr:cNvPr id="9" name="TextBox 8">
          <a:extLst>
            <a:ext uri="{FF2B5EF4-FFF2-40B4-BE49-F238E27FC236}">
              <a16:creationId xmlns:a16="http://schemas.microsoft.com/office/drawing/2014/main" id="{69D6D2A6-9845-4F40-B068-C882501E671B}"/>
            </a:ext>
          </a:extLst>
        </xdr:cNvPr>
        <xdr:cNvSpPr txBox="1"/>
      </xdr:nvSpPr>
      <xdr:spPr>
        <a:xfrm>
          <a:off x="10095347" y="4461163"/>
          <a:ext cx="3672993"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b="0"/>
            <a:t>Branch C is the overall sales leader and also records the highest average customer rating, indicating strong financial performance along with better customer satisfaction.</a:t>
          </a:r>
          <a:endParaRPr lang="en-US" sz="1100" b="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53340</xdr:colOff>
      <xdr:row>6</xdr:row>
      <xdr:rowOff>91824</xdr:rowOff>
    </xdr:from>
    <xdr:to>
      <xdr:col>2</xdr:col>
      <xdr:colOff>556260</xdr:colOff>
      <xdr:row>8</xdr:row>
      <xdr:rowOff>122305</xdr:rowOff>
    </xdr:to>
    <xdr:sp macro="" textlink="">
      <xdr:nvSpPr>
        <xdr:cNvPr id="3" name="Rectangle 2">
          <a:extLst>
            <a:ext uri="{FF2B5EF4-FFF2-40B4-BE49-F238E27FC236}">
              <a16:creationId xmlns:a16="http://schemas.microsoft.com/office/drawing/2014/main" id="{9D348955-2654-45E0-9911-B242DFB7B2BB}"/>
            </a:ext>
          </a:extLst>
        </xdr:cNvPr>
        <xdr:cNvSpPr/>
      </xdr:nvSpPr>
      <xdr:spPr>
        <a:xfrm>
          <a:off x="53340" y="1189104"/>
          <a:ext cx="1722120" cy="3962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Aptos" panose="020B0004020202020204" pitchFamily="34" charset="0"/>
              <a:cs typeface="Arial" panose="020B0604020202020204" pitchFamily="34" charset="0"/>
            </a:rPr>
            <a:t>Supermarket</a:t>
          </a:r>
        </a:p>
      </xdr:txBody>
    </xdr:sp>
    <xdr:clientData/>
  </xdr:twoCellAnchor>
  <xdr:twoCellAnchor>
    <xdr:from>
      <xdr:col>3</xdr:col>
      <xdr:colOff>556260</xdr:colOff>
      <xdr:row>16</xdr:row>
      <xdr:rowOff>144780</xdr:rowOff>
    </xdr:from>
    <xdr:to>
      <xdr:col>8</xdr:col>
      <xdr:colOff>38100</xdr:colOff>
      <xdr:row>26</xdr:row>
      <xdr:rowOff>114300</xdr:rowOff>
    </xdr:to>
    <xdr:graphicFrame macro="">
      <xdr:nvGraphicFramePr>
        <xdr:cNvPr id="34" name="Chart 33">
          <a:extLst>
            <a:ext uri="{FF2B5EF4-FFF2-40B4-BE49-F238E27FC236}">
              <a16:creationId xmlns:a16="http://schemas.microsoft.com/office/drawing/2014/main" id="{80A29EB6-050C-4211-A0A4-D9511C585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121920</xdr:colOff>
      <xdr:row>17</xdr:row>
      <xdr:rowOff>114300</xdr:rowOff>
    </xdr:from>
    <xdr:to>
      <xdr:col>13</xdr:col>
      <xdr:colOff>167640</xdr:colOff>
      <xdr:row>26</xdr:row>
      <xdr:rowOff>99060</xdr:rowOff>
    </xdr:to>
    <xdr:graphicFrame macro="">
      <xdr:nvGraphicFramePr>
        <xdr:cNvPr id="35" name="Chart 34">
          <a:extLst>
            <a:ext uri="{FF2B5EF4-FFF2-40B4-BE49-F238E27FC236}">
              <a16:creationId xmlns:a16="http://schemas.microsoft.com/office/drawing/2014/main" id="{205F20D4-2935-4DB9-ACB5-1A82B45D5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7</xdr:row>
      <xdr:rowOff>175260</xdr:rowOff>
    </xdr:from>
    <xdr:to>
      <xdr:col>13</xdr:col>
      <xdr:colOff>205740</xdr:colOff>
      <xdr:row>16</xdr:row>
      <xdr:rowOff>114300</xdr:rowOff>
    </xdr:to>
    <xdr:graphicFrame macro="">
      <xdr:nvGraphicFramePr>
        <xdr:cNvPr id="36" name="Chart 35">
          <a:extLst>
            <a:ext uri="{FF2B5EF4-FFF2-40B4-BE49-F238E27FC236}">
              <a16:creationId xmlns:a16="http://schemas.microsoft.com/office/drawing/2014/main" id="{F2787548-A3E1-40D9-9E7C-36E8AA2A6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190500</xdr:colOff>
      <xdr:row>4</xdr:row>
      <xdr:rowOff>7620</xdr:rowOff>
    </xdr:from>
    <xdr:to>
      <xdr:col>8</xdr:col>
      <xdr:colOff>701040</xdr:colOff>
      <xdr:row>7</xdr:row>
      <xdr:rowOff>39376</xdr:rowOff>
    </xdr:to>
    <xdr:sp macro="" textlink="">
      <xdr:nvSpPr>
        <xdr:cNvPr id="45" name="Rectangle: Rounded Corners 44">
          <a:extLst>
            <a:ext uri="{FF2B5EF4-FFF2-40B4-BE49-F238E27FC236}">
              <a16:creationId xmlns:a16="http://schemas.microsoft.com/office/drawing/2014/main" id="{1FEAD4C8-4E5B-4E43-98BB-770A6AE92736}"/>
            </a:ext>
          </a:extLst>
        </xdr:cNvPr>
        <xdr:cNvSpPr/>
      </xdr:nvSpPr>
      <xdr:spPr>
        <a:xfrm>
          <a:off x="4732020" y="739140"/>
          <a:ext cx="2103120" cy="580396"/>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175260</xdr:colOff>
      <xdr:row>5</xdr:row>
      <xdr:rowOff>68580</xdr:rowOff>
    </xdr:from>
    <xdr:to>
      <xdr:col>8</xdr:col>
      <xdr:colOff>769620</xdr:colOff>
      <xdr:row>6</xdr:row>
      <xdr:rowOff>163411</xdr:rowOff>
    </xdr:to>
    <xdr:sp macro="" textlink="">
      <xdr:nvSpPr>
        <xdr:cNvPr id="49" name="Rectangle 48">
          <a:extLst>
            <a:ext uri="{FF2B5EF4-FFF2-40B4-BE49-F238E27FC236}">
              <a16:creationId xmlns:a16="http://schemas.microsoft.com/office/drawing/2014/main" id="{A9163696-A15E-47D5-9C36-AB89FC64404F}"/>
            </a:ext>
          </a:extLst>
        </xdr:cNvPr>
        <xdr:cNvSpPr/>
      </xdr:nvSpPr>
      <xdr:spPr>
        <a:xfrm>
          <a:off x="4716780" y="982980"/>
          <a:ext cx="2186940" cy="2777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n>
                <a:solidFill>
                  <a:srgbClr val="274758"/>
                </a:solidFill>
              </a:ln>
              <a:solidFill>
                <a:srgbClr val="C7E2EC"/>
              </a:solidFill>
            </a:rPr>
            <a:t>Top Sales Product</a:t>
          </a:r>
        </a:p>
      </xdr:txBody>
    </xdr:sp>
    <xdr:clientData/>
  </xdr:twoCellAnchor>
  <xdr:twoCellAnchor>
    <xdr:from>
      <xdr:col>6</xdr:col>
      <xdr:colOff>144780</xdr:colOff>
      <xdr:row>3</xdr:row>
      <xdr:rowOff>68580</xdr:rowOff>
    </xdr:from>
    <xdr:to>
      <xdr:col>8</xdr:col>
      <xdr:colOff>716280</xdr:colOff>
      <xdr:row>5</xdr:row>
      <xdr:rowOff>178651</xdr:rowOff>
    </xdr:to>
    <xdr:sp macro="" textlink="Dashboard_Total_Sales!B13">
      <xdr:nvSpPr>
        <xdr:cNvPr id="50" name="Rectangle 49">
          <a:extLst>
            <a:ext uri="{FF2B5EF4-FFF2-40B4-BE49-F238E27FC236}">
              <a16:creationId xmlns:a16="http://schemas.microsoft.com/office/drawing/2014/main" id="{A4DC53DF-0080-48FD-BF92-FAF879784084}"/>
            </a:ext>
          </a:extLst>
        </xdr:cNvPr>
        <xdr:cNvSpPr/>
      </xdr:nvSpPr>
      <xdr:spPr>
        <a:xfrm>
          <a:off x="4686300" y="617220"/>
          <a:ext cx="2164080" cy="4758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Food and beverages</a:t>
          </a:r>
          <a:endParaRPr lang="en-US" sz="3200" b="1">
            <a:solidFill>
              <a:schemeClr val="tx1">
                <a:lumMod val="95000"/>
                <a:lumOff val="5000"/>
              </a:schemeClr>
            </a:solidFill>
          </a:endParaRPr>
        </a:p>
      </xdr:txBody>
    </xdr:sp>
    <xdr:clientData/>
  </xdr:twoCellAnchor>
  <xdr:twoCellAnchor>
    <xdr:from>
      <xdr:col>8</xdr:col>
      <xdr:colOff>906780</xdr:colOff>
      <xdr:row>4</xdr:row>
      <xdr:rowOff>15240</xdr:rowOff>
    </xdr:from>
    <xdr:to>
      <xdr:col>11</xdr:col>
      <xdr:colOff>480060</xdr:colOff>
      <xdr:row>7</xdr:row>
      <xdr:rowOff>46996</xdr:rowOff>
    </xdr:to>
    <xdr:sp macro="" textlink="">
      <xdr:nvSpPr>
        <xdr:cNvPr id="51" name="Rectangle: Rounded Corners 50">
          <a:extLst>
            <a:ext uri="{FF2B5EF4-FFF2-40B4-BE49-F238E27FC236}">
              <a16:creationId xmlns:a16="http://schemas.microsoft.com/office/drawing/2014/main" id="{5FCE6D11-76E9-43E0-BF18-4186BA1A2954}"/>
            </a:ext>
          </a:extLst>
        </xdr:cNvPr>
        <xdr:cNvSpPr/>
      </xdr:nvSpPr>
      <xdr:spPr>
        <a:xfrm>
          <a:off x="7040880" y="746760"/>
          <a:ext cx="2072640" cy="580396"/>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xdr:colOff>
      <xdr:row>4</xdr:row>
      <xdr:rowOff>7620</xdr:rowOff>
    </xdr:from>
    <xdr:to>
      <xdr:col>6</xdr:col>
      <xdr:colOff>22860</xdr:colOff>
      <xdr:row>7</xdr:row>
      <xdr:rowOff>39376</xdr:rowOff>
    </xdr:to>
    <xdr:sp macro="" textlink="">
      <xdr:nvSpPr>
        <xdr:cNvPr id="53" name="Rectangle: Rounded Corners 52">
          <a:extLst>
            <a:ext uri="{FF2B5EF4-FFF2-40B4-BE49-F238E27FC236}">
              <a16:creationId xmlns:a16="http://schemas.microsoft.com/office/drawing/2014/main" id="{CCDE1EE1-0326-42A5-B8F4-89A6EFBA982C}"/>
            </a:ext>
          </a:extLst>
        </xdr:cNvPr>
        <xdr:cNvSpPr/>
      </xdr:nvSpPr>
      <xdr:spPr>
        <a:xfrm>
          <a:off x="2453640" y="739140"/>
          <a:ext cx="2110740" cy="580396"/>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792480</xdr:colOff>
      <xdr:row>5</xdr:row>
      <xdr:rowOff>99060</xdr:rowOff>
    </xdr:from>
    <xdr:to>
      <xdr:col>12</xdr:col>
      <xdr:colOff>121920</xdr:colOff>
      <xdr:row>7</xdr:row>
      <xdr:rowOff>11011</xdr:rowOff>
    </xdr:to>
    <xdr:sp macro="" textlink="">
      <xdr:nvSpPr>
        <xdr:cNvPr id="56" name="Rectangle 55">
          <a:extLst>
            <a:ext uri="{FF2B5EF4-FFF2-40B4-BE49-F238E27FC236}">
              <a16:creationId xmlns:a16="http://schemas.microsoft.com/office/drawing/2014/main" id="{DFB8B803-8886-4346-868E-741DC3C4DB0E}"/>
            </a:ext>
          </a:extLst>
        </xdr:cNvPr>
        <xdr:cNvSpPr/>
      </xdr:nvSpPr>
      <xdr:spPr>
        <a:xfrm>
          <a:off x="6926580" y="1013460"/>
          <a:ext cx="2438400" cy="2777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n>
                <a:solidFill>
                  <a:srgbClr val="274758"/>
                </a:solidFill>
              </a:ln>
              <a:solidFill>
                <a:srgbClr val="C7E2EC"/>
              </a:solidFill>
            </a:rPr>
            <a:t>Top Vol. Product</a:t>
          </a:r>
        </a:p>
      </xdr:txBody>
    </xdr:sp>
    <xdr:clientData/>
  </xdr:twoCellAnchor>
  <xdr:twoCellAnchor>
    <xdr:from>
      <xdr:col>4</xdr:col>
      <xdr:colOff>22860</xdr:colOff>
      <xdr:row>5</xdr:row>
      <xdr:rowOff>60960</xdr:rowOff>
    </xdr:from>
    <xdr:to>
      <xdr:col>6</xdr:col>
      <xdr:colOff>114300</xdr:colOff>
      <xdr:row>6</xdr:row>
      <xdr:rowOff>155791</xdr:rowOff>
    </xdr:to>
    <xdr:sp macro="" textlink="">
      <xdr:nvSpPr>
        <xdr:cNvPr id="58" name="Rectangle 57">
          <a:extLst>
            <a:ext uri="{FF2B5EF4-FFF2-40B4-BE49-F238E27FC236}">
              <a16:creationId xmlns:a16="http://schemas.microsoft.com/office/drawing/2014/main" id="{526E7D5D-98E7-4FED-A8D7-7B4604197CED}"/>
            </a:ext>
          </a:extLst>
        </xdr:cNvPr>
        <xdr:cNvSpPr/>
      </xdr:nvSpPr>
      <xdr:spPr>
        <a:xfrm>
          <a:off x="2461260" y="975360"/>
          <a:ext cx="2194560" cy="2777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n>
                <a:solidFill>
                  <a:srgbClr val="274758"/>
                </a:solidFill>
              </a:ln>
              <a:solidFill>
                <a:srgbClr val="C7E2EC"/>
              </a:solidFill>
            </a:rPr>
            <a:t>Highest</a:t>
          </a:r>
          <a:r>
            <a:rPr lang="en-US" sz="2000" b="1">
              <a:ln>
                <a:solidFill>
                  <a:srgbClr val="274758"/>
                </a:solidFill>
              </a:ln>
              <a:solidFill>
                <a:srgbClr val="C7E2EC"/>
              </a:solidFill>
            </a:rPr>
            <a:t> </a:t>
          </a:r>
          <a:r>
            <a:rPr lang="en-US" sz="1800" b="1">
              <a:ln>
                <a:solidFill>
                  <a:srgbClr val="274758"/>
                </a:solidFill>
              </a:ln>
              <a:solidFill>
                <a:srgbClr val="C7E2EC"/>
              </a:solidFill>
            </a:rPr>
            <a:t>Gross Inc.</a:t>
          </a:r>
          <a:endParaRPr lang="en-US" sz="2000" b="1">
            <a:ln>
              <a:solidFill>
                <a:srgbClr val="274758"/>
              </a:solidFill>
            </a:ln>
            <a:solidFill>
              <a:srgbClr val="C7E2EC"/>
            </a:solidFill>
          </a:endParaRPr>
        </a:p>
      </xdr:txBody>
    </xdr:sp>
    <xdr:clientData/>
  </xdr:twoCellAnchor>
  <xdr:twoCellAnchor>
    <xdr:from>
      <xdr:col>8</xdr:col>
      <xdr:colOff>838200</xdr:colOff>
      <xdr:row>3</xdr:row>
      <xdr:rowOff>121920</xdr:rowOff>
    </xdr:from>
    <xdr:to>
      <xdr:col>12</xdr:col>
      <xdr:colOff>0</xdr:colOff>
      <xdr:row>6</xdr:row>
      <xdr:rowOff>49111</xdr:rowOff>
    </xdr:to>
    <xdr:sp macro="" textlink="Dashboard_Total_Sales!B13">
      <xdr:nvSpPr>
        <xdr:cNvPr id="59" name="Rectangle 58">
          <a:extLst>
            <a:ext uri="{FF2B5EF4-FFF2-40B4-BE49-F238E27FC236}">
              <a16:creationId xmlns:a16="http://schemas.microsoft.com/office/drawing/2014/main" id="{DFD93C59-2FEB-4956-85D1-C3E50F51FD42}"/>
            </a:ext>
          </a:extLst>
        </xdr:cNvPr>
        <xdr:cNvSpPr/>
      </xdr:nvSpPr>
      <xdr:spPr>
        <a:xfrm>
          <a:off x="6972300" y="670560"/>
          <a:ext cx="2270760" cy="4758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Electronic accessories</a:t>
          </a:r>
          <a:endParaRPr lang="en-US" sz="3200" b="1">
            <a:solidFill>
              <a:schemeClr val="tx1">
                <a:lumMod val="95000"/>
                <a:lumOff val="5000"/>
              </a:schemeClr>
            </a:solidFill>
          </a:endParaRPr>
        </a:p>
      </xdr:txBody>
    </xdr:sp>
    <xdr:clientData/>
  </xdr:twoCellAnchor>
  <xdr:twoCellAnchor>
    <xdr:from>
      <xdr:col>3</xdr:col>
      <xdr:colOff>594360</xdr:colOff>
      <xdr:row>3</xdr:row>
      <xdr:rowOff>76200</xdr:rowOff>
    </xdr:from>
    <xdr:to>
      <xdr:col>6</xdr:col>
      <xdr:colOff>53340</xdr:colOff>
      <xdr:row>6</xdr:row>
      <xdr:rowOff>3391</xdr:rowOff>
    </xdr:to>
    <xdr:sp macro="" textlink="Dashboard_Total_Sales!B13">
      <xdr:nvSpPr>
        <xdr:cNvPr id="61" name="Rectangle 60">
          <a:extLst>
            <a:ext uri="{FF2B5EF4-FFF2-40B4-BE49-F238E27FC236}">
              <a16:creationId xmlns:a16="http://schemas.microsoft.com/office/drawing/2014/main" id="{C1294FCA-5360-4A7B-9F47-D6EEF9BA5024}"/>
            </a:ext>
          </a:extLst>
        </xdr:cNvPr>
        <xdr:cNvSpPr/>
      </xdr:nvSpPr>
      <xdr:spPr>
        <a:xfrm>
          <a:off x="2423160" y="624840"/>
          <a:ext cx="2171700" cy="4758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Food and beverages</a:t>
          </a:r>
          <a:endParaRPr lang="en-US" sz="3200" b="1">
            <a:solidFill>
              <a:schemeClr val="tx1">
                <a:lumMod val="95000"/>
                <a:lumOff val="5000"/>
              </a:schemeClr>
            </a:solidFill>
          </a:endParaRPr>
        </a:p>
      </xdr:txBody>
    </xdr:sp>
    <xdr:clientData/>
  </xdr:twoCellAnchor>
  <xdr:twoCellAnchor>
    <xdr:from>
      <xdr:col>13</xdr:col>
      <xdr:colOff>315374</xdr:colOff>
      <xdr:row>8</xdr:row>
      <xdr:rowOff>7620</xdr:rowOff>
    </xdr:from>
    <xdr:to>
      <xdr:col>19</xdr:col>
      <xdr:colOff>470884</xdr:colOff>
      <xdr:row>26</xdr:row>
      <xdr:rowOff>77755</xdr:rowOff>
    </xdr:to>
    <xdr:graphicFrame macro="">
      <xdr:nvGraphicFramePr>
        <xdr:cNvPr id="62" name="Chart 61">
          <a:extLst>
            <a:ext uri="{FF2B5EF4-FFF2-40B4-BE49-F238E27FC236}">
              <a16:creationId xmlns:a16="http://schemas.microsoft.com/office/drawing/2014/main" id="{E03C8BBA-7B9D-48D2-8A3E-2E28DEA63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320040</xdr:colOff>
      <xdr:row>0</xdr:row>
      <xdr:rowOff>76200</xdr:rowOff>
    </xdr:from>
    <xdr:to>
      <xdr:col>2</xdr:col>
      <xdr:colOff>227206</xdr:colOff>
      <xdr:row>6</xdr:row>
      <xdr:rowOff>118379</xdr:rowOff>
    </xdr:to>
    <xdr:pic>
      <xdr:nvPicPr>
        <xdr:cNvPr id="73" name="Picture 72">
          <a:extLst>
            <a:ext uri="{FF2B5EF4-FFF2-40B4-BE49-F238E27FC236}">
              <a16:creationId xmlns:a16="http://schemas.microsoft.com/office/drawing/2014/main" id="{EFFEB0A0-74B5-405E-9145-3AE51285983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20040" y="76200"/>
          <a:ext cx="1126366" cy="1139459"/>
        </a:xfrm>
        <a:prstGeom prst="rect">
          <a:avLst/>
        </a:prstGeom>
      </xdr:spPr>
    </xdr:pic>
    <xdr:clientData/>
  </xdr:twoCellAnchor>
  <xdr:twoCellAnchor>
    <xdr:from>
      <xdr:col>0</xdr:col>
      <xdr:colOff>0</xdr:colOff>
      <xdr:row>13</xdr:row>
      <xdr:rowOff>7620</xdr:rowOff>
    </xdr:from>
    <xdr:to>
      <xdr:col>3</xdr:col>
      <xdr:colOff>403320</xdr:colOff>
      <xdr:row>16</xdr:row>
      <xdr:rowOff>20782</xdr:rowOff>
    </xdr:to>
    <xdr:sp macro="" textlink="">
      <xdr:nvSpPr>
        <xdr:cNvPr id="74" name="Flowchart: Terminator 73">
          <a:hlinkClick xmlns:r="http://schemas.openxmlformats.org/officeDocument/2006/relationships" r:id="rId6"/>
          <a:extLst>
            <a:ext uri="{FF2B5EF4-FFF2-40B4-BE49-F238E27FC236}">
              <a16:creationId xmlns:a16="http://schemas.microsoft.com/office/drawing/2014/main" id="{6DF81B63-FBE4-4960-843D-DD793B4F84EB}"/>
            </a:ext>
          </a:extLst>
        </xdr:cNvPr>
        <xdr:cNvSpPr/>
      </xdr:nvSpPr>
      <xdr:spPr>
        <a:xfrm>
          <a:off x="0" y="2385060"/>
          <a:ext cx="2232120" cy="561802"/>
        </a:xfrm>
        <a:prstGeom prst="flowChartTermina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C7E2EC"/>
              </a:solidFill>
              <a:latin typeface="Aptos" panose="020B0004020202020204" pitchFamily="34" charset="0"/>
            </a:rPr>
            <a:t>Dashboard</a:t>
          </a:r>
        </a:p>
      </xdr:txBody>
    </xdr:sp>
    <xdr:clientData/>
  </xdr:twoCellAnchor>
  <xdr:twoCellAnchor>
    <xdr:from>
      <xdr:col>0</xdr:col>
      <xdr:colOff>0</xdr:colOff>
      <xdr:row>15</xdr:row>
      <xdr:rowOff>175260</xdr:rowOff>
    </xdr:from>
    <xdr:to>
      <xdr:col>3</xdr:col>
      <xdr:colOff>403320</xdr:colOff>
      <xdr:row>19</xdr:row>
      <xdr:rowOff>5542</xdr:rowOff>
    </xdr:to>
    <xdr:sp macro="" textlink="">
      <xdr:nvSpPr>
        <xdr:cNvPr id="75" name="Flowchart: Terminator 74">
          <a:hlinkClick xmlns:r="http://schemas.openxmlformats.org/officeDocument/2006/relationships" r:id="rId7"/>
          <a:extLst>
            <a:ext uri="{FF2B5EF4-FFF2-40B4-BE49-F238E27FC236}">
              <a16:creationId xmlns:a16="http://schemas.microsoft.com/office/drawing/2014/main" id="{A09C6281-03FD-4FEC-82B1-2364A8ADB97D}"/>
            </a:ext>
          </a:extLst>
        </xdr:cNvPr>
        <xdr:cNvSpPr/>
      </xdr:nvSpPr>
      <xdr:spPr>
        <a:xfrm>
          <a:off x="0" y="2918460"/>
          <a:ext cx="2232120" cy="561802"/>
        </a:xfrm>
        <a:prstGeom prst="flowChartTermina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C7E2EC"/>
              </a:solidFill>
              <a:latin typeface="Aptos" panose="020B0004020202020204" pitchFamily="34" charset="0"/>
            </a:rPr>
            <a:t>Branch</a:t>
          </a:r>
          <a:r>
            <a:rPr lang="en-US" sz="1450" b="1" baseline="0">
              <a:solidFill>
                <a:srgbClr val="C7E2EC"/>
              </a:solidFill>
              <a:latin typeface="Aptos" panose="020B0004020202020204" pitchFamily="34" charset="0"/>
            </a:rPr>
            <a:t> Analysis</a:t>
          </a:r>
          <a:endParaRPr lang="en-US" sz="1450" b="1">
            <a:solidFill>
              <a:srgbClr val="C7E2EC"/>
            </a:solidFill>
            <a:latin typeface="Aptos" panose="020B0004020202020204" pitchFamily="34" charset="0"/>
          </a:endParaRPr>
        </a:p>
      </xdr:txBody>
    </xdr:sp>
    <xdr:clientData/>
  </xdr:twoCellAnchor>
  <xdr:twoCellAnchor>
    <xdr:from>
      <xdr:col>0</xdr:col>
      <xdr:colOff>0</xdr:colOff>
      <xdr:row>18</xdr:row>
      <xdr:rowOff>167640</xdr:rowOff>
    </xdr:from>
    <xdr:to>
      <xdr:col>3</xdr:col>
      <xdr:colOff>403320</xdr:colOff>
      <xdr:row>21</xdr:row>
      <xdr:rowOff>180802</xdr:rowOff>
    </xdr:to>
    <xdr:sp macro="" textlink="">
      <xdr:nvSpPr>
        <xdr:cNvPr id="76" name="Flowchart: Terminator 75">
          <a:extLst>
            <a:ext uri="{FF2B5EF4-FFF2-40B4-BE49-F238E27FC236}">
              <a16:creationId xmlns:a16="http://schemas.microsoft.com/office/drawing/2014/main" id="{110D1C9D-A03E-4DA7-9F40-36E91E9816D3}"/>
            </a:ext>
          </a:extLst>
        </xdr:cNvPr>
        <xdr:cNvSpPr/>
      </xdr:nvSpPr>
      <xdr:spPr>
        <a:xfrm>
          <a:off x="0" y="3459480"/>
          <a:ext cx="2232120" cy="561802"/>
        </a:xfrm>
        <a:prstGeom prst="flowChartTerminator">
          <a:avLst/>
        </a:prstGeom>
        <a:solidFill>
          <a:srgbClr val="C7E2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274758"/>
              </a:solidFill>
              <a:latin typeface="Aptos" panose="020B0004020202020204" pitchFamily="34" charset="0"/>
            </a:rPr>
            <a:t>Product Analysis</a:t>
          </a:r>
        </a:p>
      </xdr:txBody>
    </xdr:sp>
    <xdr:clientData/>
  </xdr:twoCellAnchor>
  <xdr:twoCellAnchor>
    <xdr:from>
      <xdr:col>0</xdr:col>
      <xdr:colOff>0</xdr:colOff>
      <xdr:row>21</xdr:row>
      <xdr:rowOff>175260</xdr:rowOff>
    </xdr:from>
    <xdr:to>
      <xdr:col>3</xdr:col>
      <xdr:colOff>403320</xdr:colOff>
      <xdr:row>25</xdr:row>
      <xdr:rowOff>5542</xdr:rowOff>
    </xdr:to>
    <xdr:sp macro="" textlink="">
      <xdr:nvSpPr>
        <xdr:cNvPr id="77" name="Flowchart: Terminator 76">
          <a:hlinkClick xmlns:r="http://schemas.openxmlformats.org/officeDocument/2006/relationships" r:id="rId8"/>
          <a:extLst>
            <a:ext uri="{FF2B5EF4-FFF2-40B4-BE49-F238E27FC236}">
              <a16:creationId xmlns:a16="http://schemas.microsoft.com/office/drawing/2014/main" id="{F5FB289C-9980-48AC-99EC-591C03020BF4}"/>
            </a:ext>
          </a:extLst>
        </xdr:cNvPr>
        <xdr:cNvSpPr/>
      </xdr:nvSpPr>
      <xdr:spPr>
        <a:xfrm>
          <a:off x="0" y="4015740"/>
          <a:ext cx="2232120" cy="561802"/>
        </a:xfrm>
        <a:prstGeom prst="flowChartTermina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C7E2EC"/>
              </a:solidFill>
              <a:latin typeface="Aptos" panose="020B0004020202020204" pitchFamily="34" charset="0"/>
            </a:rPr>
            <a:t>Deeper Analysis</a:t>
          </a:r>
        </a:p>
      </xdr:txBody>
    </xdr:sp>
    <xdr:clientData/>
  </xdr:twoCellAnchor>
  <xdr:twoCellAnchor editAs="oneCell">
    <xdr:from>
      <xdr:col>18</xdr:col>
      <xdr:colOff>528735</xdr:colOff>
      <xdr:row>0</xdr:row>
      <xdr:rowOff>31102</xdr:rowOff>
    </xdr:from>
    <xdr:to>
      <xdr:col>19</xdr:col>
      <xdr:colOff>431246</xdr:colOff>
      <xdr:row>2</xdr:row>
      <xdr:rowOff>175808</xdr:rowOff>
    </xdr:to>
    <xdr:pic>
      <xdr:nvPicPr>
        <xdr:cNvPr id="5" name="Picture 4">
          <a:extLst>
            <a:ext uri="{FF2B5EF4-FFF2-40B4-BE49-F238E27FC236}">
              <a16:creationId xmlns:a16="http://schemas.microsoft.com/office/drawing/2014/main" id="{A86E1A1B-BE3E-4F8E-ABD8-BA49F4C8DB9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397204" y="31102"/>
          <a:ext cx="509001" cy="517930"/>
        </a:xfrm>
        <a:prstGeom prst="rect">
          <a:avLst/>
        </a:prstGeom>
      </xdr:spPr>
    </xdr:pic>
    <xdr:clientData/>
  </xdr:twoCellAnchor>
  <xdr:oneCellAnchor>
    <xdr:from>
      <xdr:col>12</xdr:col>
      <xdr:colOff>53340</xdr:colOff>
      <xdr:row>4</xdr:row>
      <xdr:rowOff>14632</xdr:rowOff>
    </xdr:from>
    <xdr:ext cx="4625340" cy="655949"/>
    <xdr:sp macro="" textlink="">
      <xdr:nvSpPr>
        <xdr:cNvPr id="6" name="TextBox 5">
          <a:extLst>
            <a:ext uri="{FF2B5EF4-FFF2-40B4-BE49-F238E27FC236}">
              <a16:creationId xmlns:a16="http://schemas.microsoft.com/office/drawing/2014/main" id="{29060F4D-2340-1137-BD8A-ABE68A5ED4D6}"/>
            </a:ext>
          </a:extLst>
        </xdr:cNvPr>
        <xdr:cNvSpPr txBox="1"/>
      </xdr:nvSpPr>
      <xdr:spPr>
        <a:xfrm>
          <a:off x="9296400" y="746152"/>
          <a:ext cx="4625340"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a:t>"Food and Beverages generates the highest gross income among all product lines, making it the strongest category in terms of revenue contribution."</a:t>
          </a:r>
          <a:endParaRPr lang="en-US" sz="1200" b="1"/>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0</xdr:colOff>
      <xdr:row>21</xdr:row>
      <xdr:rowOff>179771</xdr:rowOff>
    </xdr:from>
    <xdr:to>
      <xdr:col>3</xdr:col>
      <xdr:colOff>412651</xdr:colOff>
      <xdr:row>24</xdr:row>
      <xdr:rowOff>181736</xdr:rowOff>
    </xdr:to>
    <xdr:sp macro="" textlink="">
      <xdr:nvSpPr>
        <xdr:cNvPr id="19" name="Flowchart: Terminator 18">
          <a:extLst>
            <a:ext uri="{FF2B5EF4-FFF2-40B4-BE49-F238E27FC236}">
              <a16:creationId xmlns:a16="http://schemas.microsoft.com/office/drawing/2014/main" id="{E3F91FEB-CADA-4BD4-B8AB-0A667D9EB787}"/>
            </a:ext>
          </a:extLst>
        </xdr:cNvPr>
        <xdr:cNvSpPr/>
      </xdr:nvSpPr>
      <xdr:spPr>
        <a:xfrm>
          <a:off x="0" y="4098628"/>
          <a:ext cx="2232120" cy="561802"/>
        </a:xfrm>
        <a:prstGeom prst="flowChartTerminator">
          <a:avLst/>
        </a:prstGeom>
        <a:solidFill>
          <a:srgbClr val="C7E2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274758"/>
              </a:solidFill>
              <a:latin typeface="Aptos" panose="020B0004020202020204" pitchFamily="34" charset="0"/>
            </a:rPr>
            <a:t>Deeper Analysis</a:t>
          </a:r>
        </a:p>
      </xdr:txBody>
    </xdr:sp>
    <xdr:clientData/>
  </xdr:twoCellAnchor>
  <xdr:twoCellAnchor>
    <xdr:from>
      <xdr:col>0</xdr:col>
      <xdr:colOff>53340</xdr:colOff>
      <xdr:row>6</xdr:row>
      <xdr:rowOff>84910</xdr:rowOff>
    </xdr:from>
    <xdr:to>
      <xdr:col>2</xdr:col>
      <xdr:colOff>556260</xdr:colOff>
      <xdr:row>8</xdr:row>
      <xdr:rowOff>115389</xdr:rowOff>
    </xdr:to>
    <xdr:sp macro="" textlink="">
      <xdr:nvSpPr>
        <xdr:cNvPr id="3" name="Rectangle 2">
          <a:extLst>
            <a:ext uri="{FF2B5EF4-FFF2-40B4-BE49-F238E27FC236}">
              <a16:creationId xmlns:a16="http://schemas.microsoft.com/office/drawing/2014/main" id="{86017D20-E301-4759-8938-98AB7339C167}"/>
            </a:ext>
          </a:extLst>
        </xdr:cNvPr>
        <xdr:cNvSpPr/>
      </xdr:nvSpPr>
      <xdr:spPr>
        <a:xfrm>
          <a:off x="53340" y="1204583"/>
          <a:ext cx="1715900" cy="4037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Aptos" panose="020B0004020202020204" pitchFamily="34" charset="0"/>
              <a:cs typeface="Arial" panose="020B0604020202020204" pitchFamily="34" charset="0"/>
            </a:rPr>
            <a:t>Supermarket</a:t>
          </a:r>
        </a:p>
      </xdr:txBody>
    </xdr:sp>
    <xdr:clientData/>
  </xdr:twoCellAnchor>
  <xdr:twoCellAnchor>
    <xdr:from>
      <xdr:col>3</xdr:col>
      <xdr:colOff>241039</xdr:colOff>
      <xdr:row>4</xdr:row>
      <xdr:rowOff>0</xdr:rowOff>
    </xdr:from>
    <xdr:to>
      <xdr:col>8</xdr:col>
      <xdr:colOff>287694</xdr:colOff>
      <xdr:row>14</xdr:row>
      <xdr:rowOff>163286</xdr:rowOff>
    </xdr:to>
    <xdr:graphicFrame macro="">
      <xdr:nvGraphicFramePr>
        <xdr:cNvPr id="11" name="Chart 10">
          <a:extLst>
            <a:ext uri="{FF2B5EF4-FFF2-40B4-BE49-F238E27FC236}">
              <a16:creationId xmlns:a16="http://schemas.microsoft.com/office/drawing/2014/main" id="{2FD25CF2-D405-47A5-966F-EB1C87819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233268</xdr:colOff>
      <xdr:row>15</xdr:row>
      <xdr:rowOff>69980</xdr:rowOff>
    </xdr:from>
    <xdr:to>
      <xdr:col>8</xdr:col>
      <xdr:colOff>303245</xdr:colOff>
      <xdr:row>26</xdr:row>
      <xdr:rowOff>46653</xdr:rowOff>
    </xdr:to>
    <xdr:graphicFrame macro="">
      <xdr:nvGraphicFramePr>
        <xdr:cNvPr id="12" name="Chart 11">
          <a:extLst>
            <a:ext uri="{FF2B5EF4-FFF2-40B4-BE49-F238E27FC236}">
              <a16:creationId xmlns:a16="http://schemas.microsoft.com/office/drawing/2014/main" id="{86A34E65-3F22-4839-876C-C8D888D76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326592</xdr:colOff>
      <xdr:row>0</xdr:row>
      <xdr:rowOff>77760</xdr:rowOff>
    </xdr:from>
    <xdr:to>
      <xdr:col>2</xdr:col>
      <xdr:colOff>239978</xdr:colOff>
      <xdr:row>6</xdr:row>
      <xdr:rowOff>97546</xdr:rowOff>
    </xdr:to>
    <xdr:pic>
      <xdr:nvPicPr>
        <xdr:cNvPr id="15" name="Picture 14">
          <a:extLst>
            <a:ext uri="{FF2B5EF4-FFF2-40B4-BE49-F238E27FC236}">
              <a16:creationId xmlns:a16="http://schemas.microsoft.com/office/drawing/2014/main" id="{51A73939-D7E6-4729-8667-E4896EF110C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6592" y="77760"/>
          <a:ext cx="1126366" cy="1139459"/>
        </a:xfrm>
        <a:prstGeom prst="rect">
          <a:avLst/>
        </a:prstGeom>
      </xdr:spPr>
    </xdr:pic>
    <xdr:clientData/>
  </xdr:twoCellAnchor>
  <xdr:twoCellAnchor>
    <xdr:from>
      <xdr:col>0</xdr:col>
      <xdr:colOff>0</xdr:colOff>
      <xdr:row>13</xdr:row>
      <xdr:rowOff>7154</xdr:rowOff>
    </xdr:from>
    <xdr:to>
      <xdr:col>3</xdr:col>
      <xdr:colOff>412651</xdr:colOff>
      <xdr:row>16</xdr:row>
      <xdr:rowOff>9119</xdr:rowOff>
    </xdr:to>
    <xdr:sp macro="" textlink="">
      <xdr:nvSpPr>
        <xdr:cNvPr id="16" name="Flowchart: Terminator 15">
          <a:hlinkClick xmlns:r="http://schemas.openxmlformats.org/officeDocument/2006/relationships" r:id="rId4"/>
          <a:extLst>
            <a:ext uri="{FF2B5EF4-FFF2-40B4-BE49-F238E27FC236}">
              <a16:creationId xmlns:a16="http://schemas.microsoft.com/office/drawing/2014/main" id="{5624DE1B-1727-4F04-832D-6C5A70A94434}"/>
            </a:ext>
          </a:extLst>
        </xdr:cNvPr>
        <xdr:cNvSpPr/>
      </xdr:nvSpPr>
      <xdr:spPr>
        <a:xfrm>
          <a:off x="0" y="2433113"/>
          <a:ext cx="2232120" cy="561802"/>
        </a:xfrm>
        <a:prstGeom prst="flowChartTermina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C7E2EC"/>
              </a:solidFill>
              <a:latin typeface="Aptos" panose="020B0004020202020204" pitchFamily="34" charset="0"/>
            </a:rPr>
            <a:t>Dashboard</a:t>
          </a:r>
        </a:p>
      </xdr:txBody>
    </xdr:sp>
    <xdr:clientData/>
  </xdr:twoCellAnchor>
  <xdr:twoCellAnchor>
    <xdr:from>
      <xdr:col>0</xdr:col>
      <xdr:colOff>0</xdr:colOff>
      <xdr:row>16</xdr:row>
      <xdr:rowOff>4044</xdr:rowOff>
    </xdr:from>
    <xdr:to>
      <xdr:col>3</xdr:col>
      <xdr:colOff>412651</xdr:colOff>
      <xdr:row>19</xdr:row>
      <xdr:rowOff>6009</xdr:rowOff>
    </xdr:to>
    <xdr:sp macro="" textlink="">
      <xdr:nvSpPr>
        <xdr:cNvPr id="17" name="Flowchart: Terminator 16">
          <a:hlinkClick xmlns:r="http://schemas.openxmlformats.org/officeDocument/2006/relationships" r:id="rId5"/>
          <a:extLst>
            <a:ext uri="{FF2B5EF4-FFF2-40B4-BE49-F238E27FC236}">
              <a16:creationId xmlns:a16="http://schemas.microsoft.com/office/drawing/2014/main" id="{40694358-5A4C-42EC-A998-02159C464C25}"/>
            </a:ext>
          </a:extLst>
        </xdr:cNvPr>
        <xdr:cNvSpPr/>
      </xdr:nvSpPr>
      <xdr:spPr>
        <a:xfrm>
          <a:off x="0" y="2989840"/>
          <a:ext cx="2232120" cy="561802"/>
        </a:xfrm>
        <a:prstGeom prst="flowChartTermina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C7E2EC"/>
              </a:solidFill>
              <a:latin typeface="Aptos" panose="020B0004020202020204" pitchFamily="34" charset="0"/>
            </a:rPr>
            <a:t>Branch Analysis</a:t>
          </a:r>
        </a:p>
      </xdr:txBody>
    </xdr:sp>
    <xdr:clientData/>
  </xdr:twoCellAnchor>
  <xdr:twoCellAnchor>
    <xdr:from>
      <xdr:col>0</xdr:col>
      <xdr:colOff>0</xdr:colOff>
      <xdr:row>18</xdr:row>
      <xdr:rowOff>175106</xdr:rowOff>
    </xdr:from>
    <xdr:to>
      <xdr:col>3</xdr:col>
      <xdr:colOff>412651</xdr:colOff>
      <xdr:row>21</xdr:row>
      <xdr:rowOff>177071</xdr:rowOff>
    </xdr:to>
    <xdr:sp macro="" textlink="">
      <xdr:nvSpPr>
        <xdr:cNvPr id="18" name="Flowchart: Terminator 17">
          <a:hlinkClick xmlns:r="http://schemas.openxmlformats.org/officeDocument/2006/relationships" r:id="rId6"/>
          <a:extLst>
            <a:ext uri="{FF2B5EF4-FFF2-40B4-BE49-F238E27FC236}">
              <a16:creationId xmlns:a16="http://schemas.microsoft.com/office/drawing/2014/main" id="{867B6F80-0D15-4CAC-BE32-7430FAF5DA10}"/>
            </a:ext>
          </a:extLst>
        </xdr:cNvPr>
        <xdr:cNvSpPr/>
      </xdr:nvSpPr>
      <xdr:spPr>
        <a:xfrm>
          <a:off x="0" y="3534126"/>
          <a:ext cx="2232120" cy="561802"/>
        </a:xfrm>
        <a:prstGeom prst="flowChartTerminator">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US" sz="1450" b="1">
              <a:solidFill>
                <a:srgbClr val="C7E2EC"/>
              </a:solidFill>
              <a:latin typeface="Aptos" panose="020B0004020202020204" pitchFamily="34" charset="0"/>
            </a:rPr>
            <a:t>Product</a:t>
          </a:r>
          <a:r>
            <a:rPr lang="en-US" sz="1450" b="1" baseline="0">
              <a:solidFill>
                <a:srgbClr val="C7E2EC"/>
              </a:solidFill>
              <a:latin typeface="Aptos" panose="020B0004020202020204" pitchFamily="34" charset="0"/>
            </a:rPr>
            <a:t> Analysis</a:t>
          </a:r>
          <a:endParaRPr lang="en-US" sz="1450" b="1">
            <a:solidFill>
              <a:srgbClr val="C7E2EC"/>
            </a:solidFill>
            <a:latin typeface="Aptos" panose="020B0004020202020204" pitchFamily="34" charset="0"/>
          </a:endParaRPr>
        </a:p>
      </xdr:txBody>
    </xdr:sp>
    <xdr:clientData/>
  </xdr:twoCellAnchor>
  <xdr:twoCellAnchor editAs="oneCell">
    <xdr:from>
      <xdr:col>8</xdr:col>
      <xdr:colOff>520961</xdr:colOff>
      <xdr:row>8</xdr:row>
      <xdr:rowOff>139959</xdr:rowOff>
    </xdr:from>
    <xdr:to>
      <xdr:col>11</xdr:col>
      <xdr:colOff>124407</xdr:colOff>
      <xdr:row>16</xdr:row>
      <xdr:rowOff>171063</xdr:rowOff>
    </xdr:to>
    <mc:AlternateContent xmlns:mc="http://schemas.openxmlformats.org/markup-compatibility/2006">
      <mc:Choice xmlns:tsle="http://schemas.microsoft.com/office/drawing/2012/timeslicer" Requires="tsle">
        <xdr:graphicFrame macro="">
          <xdr:nvGraphicFramePr>
            <xdr:cNvPr id="2" name="Date 1">
              <a:extLst>
                <a:ext uri="{FF2B5EF4-FFF2-40B4-BE49-F238E27FC236}">
                  <a16:creationId xmlns:a16="http://schemas.microsoft.com/office/drawing/2014/main" id="{240965BC-6021-4337-BBA5-862D2E1EFF7C}"/>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5372879" y="1632857"/>
              <a:ext cx="1663957" cy="152400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15</xdr:col>
      <xdr:colOff>552061</xdr:colOff>
      <xdr:row>8</xdr:row>
      <xdr:rowOff>31103</xdr:rowOff>
    </xdr:from>
    <xdr:to>
      <xdr:col>19</xdr:col>
      <xdr:colOff>357673</xdr:colOff>
      <xdr:row>25</xdr:row>
      <xdr:rowOff>171061</xdr:rowOff>
    </xdr:to>
    <xdr:graphicFrame macro="">
      <xdr:nvGraphicFramePr>
        <xdr:cNvPr id="5" name="Chart 4">
          <a:extLst>
            <a:ext uri="{FF2B5EF4-FFF2-40B4-BE49-F238E27FC236}">
              <a16:creationId xmlns:a16="http://schemas.microsoft.com/office/drawing/2014/main" id="{94361175-B547-4F0E-BAEB-72711B404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311019</xdr:colOff>
      <xdr:row>8</xdr:row>
      <xdr:rowOff>31101</xdr:rowOff>
    </xdr:from>
    <xdr:to>
      <xdr:col>15</xdr:col>
      <xdr:colOff>443204</xdr:colOff>
      <xdr:row>25</xdr:row>
      <xdr:rowOff>178837</xdr:rowOff>
    </xdr:to>
    <xdr:graphicFrame macro="">
      <xdr:nvGraphicFramePr>
        <xdr:cNvPr id="6" name="Chart 5">
          <a:extLst>
            <a:ext uri="{FF2B5EF4-FFF2-40B4-BE49-F238E27FC236}">
              <a16:creationId xmlns:a16="http://schemas.microsoft.com/office/drawing/2014/main" id="{CDEDC8DD-E4E9-419C-A4BB-8EBDEAAAE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116633</xdr:colOff>
      <xdr:row>4</xdr:row>
      <xdr:rowOff>46654</xdr:rowOff>
    </xdr:from>
    <xdr:to>
      <xdr:col>15</xdr:col>
      <xdr:colOff>31103</xdr:colOff>
      <xdr:row>6</xdr:row>
      <xdr:rowOff>132184</xdr:rowOff>
    </xdr:to>
    <xdr:sp macro="" textlink="">
      <xdr:nvSpPr>
        <xdr:cNvPr id="7" name="Rectangle: Rounded Corners 6">
          <a:extLst>
            <a:ext uri="{FF2B5EF4-FFF2-40B4-BE49-F238E27FC236}">
              <a16:creationId xmlns:a16="http://schemas.microsoft.com/office/drawing/2014/main" id="{49FF16B4-D0E8-41F7-9F10-2245C7FE1603}"/>
            </a:ext>
          </a:extLst>
        </xdr:cNvPr>
        <xdr:cNvSpPr/>
      </xdr:nvSpPr>
      <xdr:spPr>
        <a:xfrm>
          <a:off x="7635551" y="793103"/>
          <a:ext cx="1733940" cy="458754"/>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261256</xdr:colOff>
      <xdr:row>4</xdr:row>
      <xdr:rowOff>43544</xdr:rowOff>
    </xdr:from>
    <xdr:to>
      <xdr:col>18</xdr:col>
      <xdr:colOff>175727</xdr:colOff>
      <xdr:row>6</xdr:row>
      <xdr:rowOff>129074</xdr:rowOff>
    </xdr:to>
    <xdr:sp macro="" textlink="">
      <xdr:nvSpPr>
        <xdr:cNvPr id="9" name="Rectangle: Rounded Corners 8">
          <a:extLst>
            <a:ext uri="{FF2B5EF4-FFF2-40B4-BE49-F238E27FC236}">
              <a16:creationId xmlns:a16="http://schemas.microsoft.com/office/drawing/2014/main" id="{FFB62CB8-CF22-497A-897D-9256E7645316}"/>
            </a:ext>
          </a:extLst>
        </xdr:cNvPr>
        <xdr:cNvSpPr/>
      </xdr:nvSpPr>
      <xdr:spPr>
        <a:xfrm>
          <a:off x="9599644" y="789993"/>
          <a:ext cx="1733940" cy="458754"/>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429208</xdr:colOff>
      <xdr:row>4</xdr:row>
      <xdr:rowOff>48209</xdr:rowOff>
    </xdr:from>
    <xdr:to>
      <xdr:col>21</xdr:col>
      <xdr:colOff>343678</xdr:colOff>
      <xdr:row>6</xdr:row>
      <xdr:rowOff>133739</xdr:rowOff>
    </xdr:to>
    <xdr:sp macro="" textlink="">
      <xdr:nvSpPr>
        <xdr:cNvPr id="10" name="Rectangle: Rounded Corners 9">
          <a:extLst>
            <a:ext uri="{FF2B5EF4-FFF2-40B4-BE49-F238E27FC236}">
              <a16:creationId xmlns:a16="http://schemas.microsoft.com/office/drawing/2014/main" id="{598BE8CA-475A-401D-9B99-5531CD18C7D0}"/>
            </a:ext>
          </a:extLst>
        </xdr:cNvPr>
        <xdr:cNvSpPr/>
      </xdr:nvSpPr>
      <xdr:spPr>
        <a:xfrm>
          <a:off x="11587065" y="794658"/>
          <a:ext cx="1733940" cy="458754"/>
        </a:xfrm>
        <a:prstGeom prst="roundRect">
          <a:avLst/>
        </a:prstGeom>
        <a:solidFill>
          <a:schemeClr val="bg1"/>
        </a:solidFill>
        <a:ln w="3175">
          <a:solidFill>
            <a:srgbClr val="2747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497632</xdr:colOff>
      <xdr:row>5</xdr:row>
      <xdr:rowOff>54430</xdr:rowOff>
    </xdr:from>
    <xdr:to>
      <xdr:col>15</xdr:col>
      <xdr:colOff>260013</xdr:colOff>
      <xdr:row>6</xdr:row>
      <xdr:rowOff>149261</xdr:rowOff>
    </xdr:to>
    <xdr:sp macro="" textlink="">
      <xdr:nvSpPr>
        <xdr:cNvPr id="20" name="Rectangle 19">
          <a:extLst>
            <a:ext uri="{FF2B5EF4-FFF2-40B4-BE49-F238E27FC236}">
              <a16:creationId xmlns:a16="http://schemas.microsoft.com/office/drawing/2014/main" id="{11AF23F7-2E0B-45FD-AE5A-7D42B896BA8E}"/>
            </a:ext>
          </a:extLst>
        </xdr:cNvPr>
        <xdr:cNvSpPr/>
      </xdr:nvSpPr>
      <xdr:spPr>
        <a:xfrm>
          <a:off x="7410061" y="987491"/>
          <a:ext cx="2188340" cy="281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n>
                <a:solidFill>
                  <a:srgbClr val="274758"/>
                </a:solidFill>
              </a:ln>
              <a:solidFill>
                <a:srgbClr val="C7E2EC"/>
              </a:solidFill>
            </a:rPr>
            <a:t>Most</a:t>
          </a:r>
          <a:r>
            <a:rPr lang="en-US" sz="1600" b="1" baseline="0">
              <a:ln>
                <a:solidFill>
                  <a:srgbClr val="274758"/>
                </a:solidFill>
              </a:ln>
              <a:solidFill>
                <a:srgbClr val="C7E2EC"/>
              </a:solidFill>
            </a:rPr>
            <a:t> Sales</a:t>
          </a:r>
          <a:endParaRPr lang="en-US" sz="1600" b="1">
            <a:ln>
              <a:solidFill>
                <a:srgbClr val="274758"/>
              </a:solidFill>
            </a:ln>
            <a:solidFill>
              <a:srgbClr val="C7E2EC"/>
            </a:solidFill>
          </a:endParaRPr>
        </a:p>
      </xdr:txBody>
    </xdr:sp>
    <xdr:clientData/>
  </xdr:twoCellAnchor>
  <xdr:twoCellAnchor>
    <xdr:from>
      <xdr:col>15</xdr:col>
      <xdr:colOff>12440</xdr:colOff>
      <xdr:row>5</xdr:row>
      <xdr:rowOff>59095</xdr:rowOff>
    </xdr:from>
    <xdr:to>
      <xdr:col>18</xdr:col>
      <xdr:colOff>381311</xdr:colOff>
      <xdr:row>6</xdr:row>
      <xdr:rowOff>153926</xdr:rowOff>
    </xdr:to>
    <xdr:sp macro="" textlink="">
      <xdr:nvSpPr>
        <xdr:cNvPr id="21" name="Rectangle 20">
          <a:extLst>
            <a:ext uri="{FF2B5EF4-FFF2-40B4-BE49-F238E27FC236}">
              <a16:creationId xmlns:a16="http://schemas.microsoft.com/office/drawing/2014/main" id="{5317D562-56D8-4CE3-B1BB-59C3681536F5}"/>
            </a:ext>
          </a:extLst>
        </xdr:cNvPr>
        <xdr:cNvSpPr/>
      </xdr:nvSpPr>
      <xdr:spPr>
        <a:xfrm>
          <a:off x="9350828" y="992156"/>
          <a:ext cx="2188340" cy="281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n>
                <a:solidFill>
                  <a:srgbClr val="274758"/>
                </a:solidFill>
              </a:ln>
              <a:solidFill>
                <a:srgbClr val="C7E2EC"/>
              </a:solidFill>
            </a:rPr>
            <a:t>Least Sales</a:t>
          </a:r>
        </a:p>
      </xdr:txBody>
    </xdr:sp>
    <xdr:clientData/>
  </xdr:twoCellAnchor>
  <xdr:twoCellAnchor>
    <xdr:from>
      <xdr:col>18</xdr:col>
      <xdr:colOff>172616</xdr:colOff>
      <xdr:row>5</xdr:row>
      <xdr:rowOff>48209</xdr:rowOff>
    </xdr:from>
    <xdr:to>
      <xdr:col>21</xdr:col>
      <xdr:colOff>541486</xdr:colOff>
      <xdr:row>6</xdr:row>
      <xdr:rowOff>143040</xdr:rowOff>
    </xdr:to>
    <xdr:sp macro="" textlink="">
      <xdr:nvSpPr>
        <xdr:cNvPr id="22" name="Rectangle 21">
          <a:extLst>
            <a:ext uri="{FF2B5EF4-FFF2-40B4-BE49-F238E27FC236}">
              <a16:creationId xmlns:a16="http://schemas.microsoft.com/office/drawing/2014/main" id="{BA4C0950-BAA3-4FBB-85DB-CB1DA9250276}"/>
            </a:ext>
          </a:extLst>
        </xdr:cNvPr>
        <xdr:cNvSpPr/>
      </xdr:nvSpPr>
      <xdr:spPr>
        <a:xfrm>
          <a:off x="11330473" y="981270"/>
          <a:ext cx="2188340" cy="2814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n>
                <a:solidFill>
                  <a:srgbClr val="274758"/>
                </a:solidFill>
              </a:ln>
              <a:solidFill>
                <a:srgbClr val="C7E2EC"/>
              </a:solidFill>
            </a:rPr>
            <a:t>Top Sales Product</a:t>
          </a:r>
        </a:p>
      </xdr:txBody>
    </xdr:sp>
    <xdr:clientData/>
  </xdr:twoCellAnchor>
  <xdr:twoCellAnchor>
    <xdr:from>
      <xdr:col>11</xdr:col>
      <xdr:colOff>475860</xdr:colOff>
      <xdr:row>3</xdr:row>
      <xdr:rowOff>125964</xdr:rowOff>
    </xdr:from>
    <xdr:to>
      <xdr:col>15</xdr:col>
      <xdr:colOff>314130</xdr:colOff>
      <xdr:row>6</xdr:row>
      <xdr:rowOff>53155</xdr:rowOff>
    </xdr:to>
    <xdr:sp macro="" textlink="Dashboard_Total_Sales!B13">
      <xdr:nvSpPr>
        <xdr:cNvPr id="23" name="Rectangle 22">
          <a:extLst>
            <a:ext uri="{FF2B5EF4-FFF2-40B4-BE49-F238E27FC236}">
              <a16:creationId xmlns:a16="http://schemas.microsoft.com/office/drawing/2014/main" id="{2DDFE070-B066-4D34-BCB2-5E3B2974B905}"/>
            </a:ext>
          </a:extLst>
        </xdr:cNvPr>
        <xdr:cNvSpPr/>
      </xdr:nvSpPr>
      <xdr:spPr>
        <a:xfrm>
          <a:off x="7388289" y="685801"/>
          <a:ext cx="2264229" cy="4870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Calibri"/>
              <a:ea typeface="Calibri"/>
              <a:cs typeface="Calibri"/>
            </a:rPr>
            <a:t>January</a:t>
          </a:r>
          <a:endParaRPr lang="en-US" sz="2800" b="1">
            <a:solidFill>
              <a:schemeClr val="tx1">
                <a:lumMod val="95000"/>
                <a:lumOff val="5000"/>
              </a:schemeClr>
            </a:solidFill>
          </a:endParaRPr>
        </a:p>
      </xdr:txBody>
    </xdr:sp>
    <xdr:clientData/>
  </xdr:twoCellAnchor>
  <xdr:twoCellAnchor>
    <xdr:from>
      <xdr:col>14</xdr:col>
      <xdr:colOff>604934</xdr:colOff>
      <xdr:row>3</xdr:row>
      <xdr:rowOff>115078</xdr:rowOff>
    </xdr:from>
    <xdr:to>
      <xdr:col>18</xdr:col>
      <xdr:colOff>443204</xdr:colOff>
      <xdr:row>6</xdr:row>
      <xdr:rowOff>42269</xdr:rowOff>
    </xdr:to>
    <xdr:sp macro="" textlink="Dashboard_Total_Sales!B13">
      <xdr:nvSpPr>
        <xdr:cNvPr id="25" name="Rectangle 24">
          <a:extLst>
            <a:ext uri="{FF2B5EF4-FFF2-40B4-BE49-F238E27FC236}">
              <a16:creationId xmlns:a16="http://schemas.microsoft.com/office/drawing/2014/main" id="{4DAC2D04-A732-42F5-A37A-482911B91AC3}"/>
            </a:ext>
          </a:extLst>
        </xdr:cNvPr>
        <xdr:cNvSpPr/>
      </xdr:nvSpPr>
      <xdr:spPr>
        <a:xfrm>
          <a:off x="9336832" y="674915"/>
          <a:ext cx="2264229" cy="4870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Calibri"/>
              <a:ea typeface="Calibri"/>
              <a:cs typeface="Calibri"/>
            </a:rPr>
            <a:t>Febraury</a:t>
          </a:r>
          <a:endParaRPr lang="en-US" sz="2800" b="1">
            <a:solidFill>
              <a:schemeClr val="tx1">
                <a:lumMod val="95000"/>
                <a:lumOff val="5000"/>
              </a:schemeClr>
            </a:solidFill>
          </a:endParaRPr>
        </a:p>
      </xdr:txBody>
    </xdr:sp>
    <xdr:clientData/>
  </xdr:twoCellAnchor>
  <xdr:twoCellAnchor>
    <xdr:from>
      <xdr:col>18</xdr:col>
      <xdr:colOff>166396</xdr:colOff>
      <xdr:row>3</xdr:row>
      <xdr:rowOff>127519</xdr:rowOff>
    </xdr:from>
    <xdr:to>
      <xdr:col>22</xdr:col>
      <xdr:colOff>4666</xdr:colOff>
      <xdr:row>6</xdr:row>
      <xdr:rowOff>54710</xdr:rowOff>
    </xdr:to>
    <xdr:sp macro="" textlink="Dashboard_Total_Sales!B13">
      <xdr:nvSpPr>
        <xdr:cNvPr id="26" name="Rectangle 25">
          <a:extLst>
            <a:ext uri="{FF2B5EF4-FFF2-40B4-BE49-F238E27FC236}">
              <a16:creationId xmlns:a16="http://schemas.microsoft.com/office/drawing/2014/main" id="{66F2F949-C753-4247-87B5-ADA4CDF0EC9E}"/>
            </a:ext>
          </a:extLst>
        </xdr:cNvPr>
        <xdr:cNvSpPr/>
      </xdr:nvSpPr>
      <xdr:spPr>
        <a:xfrm>
          <a:off x="11324253" y="687356"/>
          <a:ext cx="2264229" cy="4870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Calibri"/>
              <a:ea typeface="Calibri"/>
              <a:cs typeface="Calibri"/>
            </a:rPr>
            <a:t>Electronic accessories</a:t>
          </a:r>
          <a:endParaRPr lang="en-US" sz="2800" b="1">
            <a:solidFill>
              <a:schemeClr val="tx1">
                <a:lumMod val="95000"/>
                <a:lumOff val="5000"/>
              </a:schemeClr>
            </a:solidFill>
          </a:endParaRPr>
        </a:p>
      </xdr:txBody>
    </xdr:sp>
    <xdr:clientData/>
  </xdr:twoCellAnchor>
  <xdr:twoCellAnchor>
    <xdr:from>
      <xdr:col>19</xdr:col>
      <xdr:colOff>458755</xdr:colOff>
      <xdr:row>7</xdr:row>
      <xdr:rowOff>186610</xdr:rowOff>
    </xdr:from>
    <xdr:to>
      <xdr:col>23</xdr:col>
      <xdr:colOff>108857</xdr:colOff>
      <xdr:row>25</xdr:row>
      <xdr:rowOff>163286</xdr:rowOff>
    </xdr:to>
    <xdr:graphicFrame macro="">
      <xdr:nvGraphicFramePr>
        <xdr:cNvPr id="27" name="Chart 26">
          <a:extLst>
            <a:ext uri="{FF2B5EF4-FFF2-40B4-BE49-F238E27FC236}">
              <a16:creationId xmlns:a16="http://schemas.microsoft.com/office/drawing/2014/main" id="{C0FC537A-C510-400E-83D0-717A1EA99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552061</xdr:colOff>
      <xdr:row>0</xdr:row>
      <xdr:rowOff>23326</xdr:rowOff>
    </xdr:from>
    <xdr:to>
      <xdr:col>22</xdr:col>
      <xdr:colOff>454573</xdr:colOff>
      <xdr:row>2</xdr:row>
      <xdr:rowOff>168032</xdr:rowOff>
    </xdr:to>
    <xdr:pic>
      <xdr:nvPicPr>
        <xdr:cNvPr id="28" name="Picture 27">
          <a:extLst>
            <a:ext uri="{FF2B5EF4-FFF2-40B4-BE49-F238E27FC236}">
              <a16:creationId xmlns:a16="http://schemas.microsoft.com/office/drawing/2014/main" id="{769A9E70-AB36-44B9-BE7D-43DC35BEE82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529388" y="23326"/>
          <a:ext cx="509001" cy="517930"/>
        </a:xfrm>
        <a:prstGeom prst="rect">
          <a:avLst/>
        </a:prstGeom>
      </xdr:spPr>
    </xdr:pic>
    <xdr:clientData/>
  </xdr:twoCellAnchor>
  <xdr:oneCellAnchor>
    <xdr:from>
      <xdr:col>8</xdr:col>
      <xdr:colOff>326572</xdr:colOff>
      <xdr:row>16</xdr:row>
      <xdr:rowOff>171062</xdr:rowOff>
    </xdr:from>
    <xdr:ext cx="2200469" cy="953466"/>
    <xdr:sp macro="" textlink="">
      <xdr:nvSpPr>
        <xdr:cNvPr id="8" name="TextBox 7">
          <a:extLst>
            <a:ext uri="{FF2B5EF4-FFF2-40B4-BE49-F238E27FC236}">
              <a16:creationId xmlns:a16="http://schemas.microsoft.com/office/drawing/2014/main" id="{5BC06E79-21D2-69E5-42E2-EEDA5D5DC24A}"/>
            </a:ext>
          </a:extLst>
        </xdr:cNvPr>
        <xdr:cNvSpPr txBox="1"/>
      </xdr:nvSpPr>
      <xdr:spPr>
        <a:xfrm>
          <a:off x="5178490" y="3156858"/>
          <a:ext cx="2200469"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t>"January records the highest sales among the three months, while February shows the lowest sales, indicating a noticeable monthly fluctuation in sales performance."</a:t>
          </a:r>
          <a:endParaRPr lang="en-US" sz="1100"/>
        </a:p>
      </xdr:txBody>
    </xdr:sp>
    <xdr:clientData/>
  </xdr:oneCellAnchor>
  <xdr:oneCellAnchor>
    <xdr:from>
      <xdr:col>8</xdr:col>
      <xdr:colOff>354564</xdr:colOff>
      <xdr:row>21</xdr:row>
      <xdr:rowOff>160176</xdr:rowOff>
    </xdr:from>
    <xdr:ext cx="2188029" cy="953466"/>
    <xdr:sp macro="" textlink="">
      <xdr:nvSpPr>
        <xdr:cNvPr id="13" name="TextBox 12">
          <a:extLst>
            <a:ext uri="{FF2B5EF4-FFF2-40B4-BE49-F238E27FC236}">
              <a16:creationId xmlns:a16="http://schemas.microsoft.com/office/drawing/2014/main" id="{2B1E2E1A-93A8-4CC0-B8FA-B81C342FFCA7}"/>
            </a:ext>
          </a:extLst>
        </xdr:cNvPr>
        <xdr:cNvSpPr txBox="1"/>
      </xdr:nvSpPr>
      <xdr:spPr>
        <a:xfrm>
          <a:off x="5206482" y="4079033"/>
          <a:ext cx="2188029"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a:t>"Sales volume follows a similar pattern to monthly sales, with February recording the lowest quantity sold and January recording the highest."</a:t>
          </a:r>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5</xdr:col>
      <xdr:colOff>243840</xdr:colOff>
      <xdr:row>1</xdr:row>
      <xdr:rowOff>133350</xdr:rowOff>
    </xdr:from>
    <xdr:to>
      <xdr:col>9</xdr:col>
      <xdr:colOff>441960</xdr:colOff>
      <xdr:row>14</xdr:row>
      <xdr:rowOff>22860</xdr:rowOff>
    </xdr:to>
    <xdr:graphicFrame macro="">
      <xdr:nvGraphicFramePr>
        <xdr:cNvPr id="4" name="Chart 3">
          <a:extLst>
            <a:ext uri="{FF2B5EF4-FFF2-40B4-BE49-F238E27FC236}">
              <a16:creationId xmlns:a16="http://schemas.microsoft.com/office/drawing/2014/main" id="{AD22FB3B-3F3C-6433-C14E-72ECE2C3D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266700</xdr:colOff>
      <xdr:row>15</xdr:row>
      <xdr:rowOff>129540</xdr:rowOff>
    </xdr:from>
    <xdr:to>
      <xdr:col>9</xdr:col>
      <xdr:colOff>556260</xdr:colOff>
      <xdr:row>23</xdr:row>
      <xdr:rowOff>38100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8278C4AA-7905-0DD9-893F-6A73CDDAD84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360420" y="287274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11</xdr:col>
      <xdr:colOff>335280</xdr:colOff>
      <xdr:row>21</xdr:row>
      <xdr:rowOff>41910</xdr:rowOff>
    </xdr:to>
    <xdr:graphicFrame macro="">
      <xdr:nvGraphicFramePr>
        <xdr:cNvPr id="2" name="Chart 1">
          <a:extLst>
            <a:ext uri="{FF2B5EF4-FFF2-40B4-BE49-F238E27FC236}">
              <a16:creationId xmlns:a16="http://schemas.microsoft.com/office/drawing/2014/main" id="{3BA5C02C-9E3C-0F61-FE09-C8EC09269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684440</xdr:colOff>
      <xdr:row>1</xdr:row>
      <xdr:rowOff>156756</xdr:rowOff>
    </xdr:from>
    <xdr:to>
      <xdr:col>10</xdr:col>
      <xdr:colOff>272145</xdr:colOff>
      <xdr:row>16</xdr:row>
      <xdr:rowOff>136072</xdr:rowOff>
    </xdr:to>
    <xdr:graphicFrame macro="">
      <xdr:nvGraphicFramePr>
        <xdr:cNvPr id="2" name="Chart 1">
          <a:extLst>
            <a:ext uri="{FF2B5EF4-FFF2-40B4-BE49-F238E27FC236}">
              <a16:creationId xmlns:a16="http://schemas.microsoft.com/office/drawing/2014/main" id="{6DE4ACE3-2D2E-F516-E809-AC96A79CD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228600</xdr:colOff>
      <xdr:row>6</xdr:row>
      <xdr:rowOff>45720</xdr:rowOff>
    </xdr:from>
    <xdr:to>
      <xdr:col>11</xdr:col>
      <xdr:colOff>533400</xdr:colOff>
      <xdr:row>21</xdr:row>
      <xdr:rowOff>45720</xdr:rowOff>
    </xdr:to>
    <xdr:graphicFrame macro="">
      <xdr:nvGraphicFramePr>
        <xdr:cNvPr id="2" name="Chart 1">
          <a:extLst>
            <a:ext uri="{FF2B5EF4-FFF2-40B4-BE49-F238E27FC236}">
              <a16:creationId xmlns:a16="http://schemas.microsoft.com/office/drawing/2014/main" id="{71AF2521-3477-15BC-9C7C-444974FC1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457200</xdr:colOff>
      <xdr:row>6</xdr:row>
      <xdr:rowOff>0</xdr:rowOff>
    </xdr:from>
    <xdr:to>
      <xdr:col>10</xdr:col>
      <xdr:colOff>601980</xdr:colOff>
      <xdr:row>21</xdr:row>
      <xdr:rowOff>0</xdr:rowOff>
    </xdr:to>
    <xdr:graphicFrame macro="">
      <xdr:nvGraphicFramePr>
        <xdr:cNvPr id="2" name="Chart 1">
          <a:extLst>
            <a:ext uri="{FF2B5EF4-FFF2-40B4-BE49-F238E27FC236}">
              <a16:creationId xmlns:a16="http://schemas.microsoft.com/office/drawing/2014/main" id="{39030439-096B-25DC-C02D-9F14C984B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6</xdr:col>
      <xdr:colOff>99060</xdr:colOff>
      <xdr:row>6</xdr:row>
      <xdr:rowOff>76200</xdr:rowOff>
    </xdr:from>
    <xdr:ext cx="2720340" cy="396240"/>
    <xdr:sp macro="" textlink="">
      <xdr:nvSpPr>
        <xdr:cNvPr id="3" name="TextBox 2">
          <a:extLst>
            <a:ext uri="{FF2B5EF4-FFF2-40B4-BE49-F238E27FC236}">
              <a16:creationId xmlns:a16="http://schemas.microsoft.com/office/drawing/2014/main" id="{0A94075D-6531-B073-85D0-7A0E890A7A5C}"/>
            </a:ext>
          </a:extLst>
        </xdr:cNvPr>
        <xdr:cNvSpPr txBox="1"/>
      </xdr:nvSpPr>
      <xdr:spPr>
        <a:xfrm>
          <a:off x="4419600" y="1173480"/>
          <a:ext cx="2720340"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tx1"/>
              </a:solidFill>
              <a:effectLst/>
              <a:latin typeface="Aptos" panose="020B0004020202020204" pitchFamily="34" charset="0"/>
              <a:ea typeface="+mn-ea"/>
              <a:cs typeface="+mn-cs"/>
            </a:rPr>
            <a:t>Quantity Sold in </a:t>
          </a:r>
          <a:r>
            <a:rPr lang="en-US" sz="1500" b="1">
              <a:solidFill>
                <a:schemeClr val="tx1"/>
              </a:solidFill>
              <a:effectLst/>
              <a:latin typeface="Aptos" panose="020B0004020202020204" pitchFamily="34" charset="0"/>
              <a:ea typeface="+mn-ea"/>
              <a:cs typeface="+mn-cs"/>
            </a:rPr>
            <a:t>Each</a:t>
          </a:r>
          <a:r>
            <a:rPr lang="en-US" sz="1600" b="1" baseline="0">
              <a:solidFill>
                <a:schemeClr val="tx1"/>
              </a:solidFill>
              <a:effectLst/>
              <a:latin typeface="Aptos" panose="020B0004020202020204" pitchFamily="34" charset="0"/>
              <a:ea typeface="+mn-ea"/>
              <a:cs typeface="+mn-cs"/>
            </a:rPr>
            <a:t> Branch</a:t>
          </a:r>
          <a:endParaRPr lang="en-US" sz="1600" b="1">
            <a:effectLst/>
            <a:latin typeface="Aptos" panose="020B0004020202020204" pitchFamily="34" charset="0"/>
          </a:endParaRPr>
        </a:p>
        <a:p>
          <a:endParaRPr lang="en-US" sz="1600" b="1">
            <a:latin typeface="Aptos" panose="020B0004020202020204" pitchFamily="34" charset="0"/>
          </a:endParaRPr>
        </a:p>
      </xdr:txBody>
    </xdr:sp>
    <xdr:clientData/>
  </xdr:oneCellAnchor>
</xdr:wsDr>
</file>

<file path=xl/drawings/drawing11.xml><?xml version="1.0" encoding="utf-8"?>
<c:userShapes xmlns:c="http://schemas.openxmlformats.org/drawingml/2006/chart">
  <cdr:relSizeAnchor xmlns:cdr="http://schemas.openxmlformats.org/drawingml/2006/chartDrawing">
    <cdr:from>
      <cdr:x>0.5537</cdr:x>
      <cdr:y>0.07778</cdr:y>
    </cdr:from>
    <cdr:to>
      <cdr:x>1</cdr:x>
      <cdr:y>0.41111</cdr:y>
    </cdr:to>
    <cdr:sp macro="" textlink="">
      <cdr:nvSpPr>
        <cdr:cNvPr id="2" name="TextBox 1">
          <a:extLst xmlns:a="http://schemas.openxmlformats.org/drawingml/2006/main">
            <a:ext uri="{FF2B5EF4-FFF2-40B4-BE49-F238E27FC236}">
              <a16:creationId xmlns:a16="http://schemas.microsoft.com/office/drawing/2014/main" id="{51E0A386-23A8-E638-7291-78D1BEAB38FB}"/>
            </a:ext>
          </a:extLst>
        </cdr:cNvPr>
        <cdr:cNvSpPr txBox="1"/>
      </cdr:nvSpPr>
      <cdr:spPr>
        <a:xfrm xmlns:a="http://schemas.openxmlformats.org/drawingml/2006/main">
          <a:off x="1767840" y="213360"/>
          <a:ext cx="142494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drawings/drawing12.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11</xdr:col>
      <xdr:colOff>335280</xdr:colOff>
      <xdr:row>21</xdr:row>
      <xdr:rowOff>41910</xdr:rowOff>
    </xdr:to>
    <xdr:graphicFrame macro="">
      <xdr:nvGraphicFramePr>
        <xdr:cNvPr id="2" name="Chart 1">
          <a:extLst>
            <a:ext uri="{FF2B5EF4-FFF2-40B4-BE49-F238E27FC236}">
              <a16:creationId xmlns:a16="http://schemas.microsoft.com/office/drawing/2014/main" id="{AC7C8BB1-90DF-5453-3790-0EBF24F6D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586740</xdr:colOff>
      <xdr:row>6</xdr:row>
      <xdr:rowOff>41910</xdr:rowOff>
    </xdr:from>
    <xdr:to>
      <xdr:col>11</xdr:col>
      <xdr:colOff>281940</xdr:colOff>
      <xdr:row>21</xdr:row>
      <xdr:rowOff>41910</xdr:rowOff>
    </xdr:to>
    <xdr:graphicFrame macro="">
      <xdr:nvGraphicFramePr>
        <xdr:cNvPr id="2" name="Chart 1">
          <a:extLst>
            <a:ext uri="{FF2B5EF4-FFF2-40B4-BE49-F238E27FC236}">
              <a16:creationId xmlns:a16="http://schemas.microsoft.com/office/drawing/2014/main" id="{48C0C22E-1AB9-F7E1-D0AB-742B99217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533400</xdr:colOff>
      <xdr:row>1</xdr:row>
      <xdr:rowOff>99061</xdr:rowOff>
    </xdr:from>
    <xdr:to>
      <xdr:col>5</xdr:col>
      <xdr:colOff>533400</xdr:colOff>
      <xdr:row>8</xdr:row>
      <xdr:rowOff>15241</xdr:rowOff>
    </xdr:to>
    <mc:AlternateContent xmlns:mc="http://schemas.openxmlformats.org/markup-compatibility/2006" xmlns:a14="http://schemas.microsoft.com/office/drawing/2010/main">
      <mc:Choice Requires="a14">
        <xdr:graphicFrame macro="">
          <xdr:nvGraphicFramePr>
            <xdr:cNvPr id="3" name="Payment">
              <a:extLst>
                <a:ext uri="{FF2B5EF4-FFF2-40B4-BE49-F238E27FC236}">
                  <a16:creationId xmlns:a16="http://schemas.microsoft.com/office/drawing/2014/main" id="{348D93EA-55AA-270A-2817-8B0D69D62EE2}"/>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2194560" y="281941"/>
              <a:ext cx="182880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3</xdr:col>
      <xdr:colOff>0</xdr:colOff>
      <xdr:row>2</xdr:row>
      <xdr:rowOff>7620</xdr:rowOff>
    </xdr:from>
    <xdr:to>
      <xdr:col>11</xdr:col>
      <xdr:colOff>15240</xdr:colOff>
      <xdr:row>17</xdr:row>
      <xdr:rowOff>0</xdr:rowOff>
    </xdr:to>
    <xdr:graphicFrame macro="">
      <xdr:nvGraphicFramePr>
        <xdr:cNvPr id="2" name="Chart 1">
          <a:extLst>
            <a:ext uri="{FF2B5EF4-FFF2-40B4-BE49-F238E27FC236}">
              <a16:creationId xmlns:a16="http://schemas.microsoft.com/office/drawing/2014/main" id="{14078A82-C3A0-4975-A47D-4107E11A6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4</xdr:col>
      <xdr:colOff>358140</xdr:colOff>
      <xdr:row>6</xdr:row>
      <xdr:rowOff>102870</xdr:rowOff>
    </xdr:from>
    <xdr:to>
      <xdr:col>12</xdr:col>
      <xdr:colOff>53340</xdr:colOff>
      <xdr:row>21</xdr:row>
      <xdr:rowOff>102870</xdr:rowOff>
    </xdr:to>
    <xdr:graphicFrame macro="">
      <xdr:nvGraphicFramePr>
        <xdr:cNvPr id="3" name="Chart 2">
          <a:extLst>
            <a:ext uri="{FF2B5EF4-FFF2-40B4-BE49-F238E27FC236}">
              <a16:creationId xmlns:a16="http://schemas.microsoft.com/office/drawing/2014/main" id="{BF264D5B-E7C9-AD2A-D0AC-9ADF393FC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3</xdr:col>
      <xdr:colOff>0</xdr:colOff>
      <xdr:row>1</xdr:row>
      <xdr:rowOff>179070</xdr:rowOff>
    </xdr:from>
    <xdr:to>
      <xdr:col>9</xdr:col>
      <xdr:colOff>30480</xdr:colOff>
      <xdr:row>15</xdr:row>
      <xdr:rowOff>114300</xdr:rowOff>
    </xdr:to>
    <xdr:graphicFrame macro="">
      <xdr:nvGraphicFramePr>
        <xdr:cNvPr id="2" name="Chart 1">
          <a:extLst>
            <a:ext uri="{FF2B5EF4-FFF2-40B4-BE49-F238E27FC236}">
              <a16:creationId xmlns:a16="http://schemas.microsoft.com/office/drawing/2014/main" id="{D721C961-1221-3CD8-D480-87E56C94D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3</xdr:col>
      <xdr:colOff>137160</xdr:colOff>
      <xdr:row>6</xdr:row>
      <xdr:rowOff>41910</xdr:rowOff>
    </xdr:from>
    <xdr:to>
      <xdr:col>10</xdr:col>
      <xdr:colOff>441960</xdr:colOff>
      <xdr:row>21</xdr:row>
      <xdr:rowOff>41910</xdr:rowOff>
    </xdr:to>
    <xdr:graphicFrame macro="">
      <xdr:nvGraphicFramePr>
        <xdr:cNvPr id="2" name="Chart 1">
          <a:extLst>
            <a:ext uri="{FF2B5EF4-FFF2-40B4-BE49-F238E27FC236}">
              <a16:creationId xmlns:a16="http://schemas.microsoft.com/office/drawing/2014/main" id="{0603FE6D-9C50-DF60-9FBA-552A11FDE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3</xdr:col>
      <xdr:colOff>190500</xdr:colOff>
      <xdr:row>6</xdr:row>
      <xdr:rowOff>41910</xdr:rowOff>
    </xdr:from>
    <xdr:to>
      <xdr:col>10</xdr:col>
      <xdr:colOff>495300</xdr:colOff>
      <xdr:row>21</xdr:row>
      <xdr:rowOff>41910</xdr:rowOff>
    </xdr:to>
    <xdr:graphicFrame macro="">
      <xdr:nvGraphicFramePr>
        <xdr:cNvPr id="2" name="Chart 1">
          <a:extLst>
            <a:ext uri="{FF2B5EF4-FFF2-40B4-BE49-F238E27FC236}">
              <a16:creationId xmlns:a16="http://schemas.microsoft.com/office/drawing/2014/main" id="{7FE63D78-7DA3-1755-5A4C-010D07B68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541020</xdr:colOff>
      <xdr:row>6</xdr:row>
      <xdr:rowOff>41910</xdr:rowOff>
    </xdr:from>
    <xdr:to>
      <xdr:col>10</xdr:col>
      <xdr:colOff>236220</xdr:colOff>
      <xdr:row>21</xdr:row>
      <xdr:rowOff>41910</xdr:rowOff>
    </xdr:to>
    <xdr:graphicFrame macro="">
      <xdr:nvGraphicFramePr>
        <xdr:cNvPr id="2" name="Chart 1">
          <a:extLst>
            <a:ext uri="{FF2B5EF4-FFF2-40B4-BE49-F238E27FC236}">
              <a16:creationId xmlns:a16="http://schemas.microsoft.com/office/drawing/2014/main" id="{1EAE4B93-18E8-9438-D682-1B77C50B7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oneCell">
    <xdr:from>
      <xdr:col>6</xdr:col>
      <xdr:colOff>533400</xdr:colOff>
      <xdr:row>7</xdr:row>
      <xdr:rowOff>1</xdr:rowOff>
    </xdr:from>
    <xdr:to>
      <xdr:col>9</xdr:col>
      <xdr:colOff>533400</xdr:colOff>
      <xdr:row>12</xdr:row>
      <xdr:rowOff>68581</xdr:rowOff>
    </xdr:to>
    <mc:AlternateContent xmlns:mc="http://schemas.openxmlformats.org/markup-compatibility/2006" xmlns:a14="http://schemas.microsoft.com/office/drawing/2010/main">
      <mc:Choice Requires="a14">
        <xdr:graphicFrame macro="">
          <xdr:nvGraphicFramePr>
            <xdr:cNvPr id="2" name="Customer type">
              <a:extLst>
                <a:ext uri="{FF2B5EF4-FFF2-40B4-BE49-F238E27FC236}">
                  <a16:creationId xmlns:a16="http://schemas.microsoft.com/office/drawing/2014/main" id="{289D28D2-92B1-DDD0-A538-1CA25255D47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5303520" y="1280161"/>
              <a:ext cx="182880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6</xdr:row>
      <xdr:rowOff>175261</xdr:rowOff>
    </xdr:from>
    <xdr:to>
      <xdr:col>13</xdr:col>
      <xdr:colOff>38100</xdr:colOff>
      <xdr:row>12</xdr:row>
      <xdr:rowOff>83821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30B91E15-F69D-6FA6-6077-5FBDA2AF1A0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46620" y="1272541"/>
              <a:ext cx="18288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1219200</xdr:colOff>
      <xdr:row>7</xdr:row>
      <xdr:rowOff>114300</xdr:rowOff>
    </xdr:from>
    <xdr:to>
      <xdr:col>5</xdr:col>
      <xdr:colOff>548640</xdr:colOff>
      <xdr:row>21</xdr:row>
      <xdr:rowOff>20955</xdr:rowOff>
    </xdr:to>
    <mc:AlternateContent xmlns:mc="http://schemas.openxmlformats.org/markup-compatibility/2006" xmlns:a14="http://schemas.microsoft.com/office/drawing/2010/main">
      <mc:Choice Requires="a14">
        <xdr:graphicFrame macro="">
          <xdr:nvGraphicFramePr>
            <xdr:cNvPr id="8" name="Product line">
              <a:extLst>
                <a:ext uri="{FF2B5EF4-FFF2-40B4-BE49-F238E27FC236}">
                  <a16:creationId xmlns:a16="http://schemas.microsoft.com/office/drawing/2014/main" id="{DDAD4498-7DDF-6217-69BA-E529D41CC859}"/>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880360" y="1394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175260</xdr:colOff>
      <xdr:row>5</xdr:row>
      <xdr:rowOff>114301</xdr:rowOff>
    </xdr:from>
    <xdr:to>
      <xdr:col>16</xdr:col>
      <xdr:colOff>175260</xdr:colOff>
      <xdr:row>12</xdr:row>
      <xdr:rowOff>91441</xdr:rowOff>
    </xdr:to>
    <mc:AlternateContent xmlns:mc="http://schemas.openxmlformats.org/markup-compatibility/2006" xmlns:a14="http://schemas.microsoft.com/office/drawing/2010/main">
      <mc:Choice Requires="a14">
        <xdr:graphicFrame macro="">
          <xdr:nvGraphicFramePr>
            <xdr:cNvPr id="10" name="Branch">
              <a:extLst>
                <a:ext uri="{FF2B5EF4-FFF2-40B4-BE49-F238E27FC236}">
                  <a16:creationId xmlns:a16="http://schemas.microsoft.com/office/drawing/2014/main" id="{47BB5195-99AF-2B97-0CB2-13F008B39B0E}"/>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9212580" y="1028701"/>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2.xml><?xml version="1.0" encoding="utf-8"?>
<xdr:wsDr xmlns:xdr="http://schemas.openxmlformats.org/drawingml/2006/spreadsheetDrawing" xmlns:a="http://schemas.openxmlformats.org/drawingml/2006/main">
  <xdr:twoCellAnchor>
    <xdr:from>
      <xdr:col>4</xdr:col>
      <xdr:colOff>152400</xdr:colOff>
      <xdr:row>6</xdr:row>
      <xdr:rowOff>41910</xdr:rowOff>
    </xdr:from>
    <xdr:to>
      <xdr:col>11</xdr:col>
      <xdr:colOff>457200</xdr:colOff>
      <xdr:row>21</xdr:row>
      <xdr:rowOff>41910</xdr:rowOff>
    </xdr:to>
    <xdr:graphicFrame macro="">
      <xdr:nvGraphicFramePr>
        <xdr:cNvPr id="2" name="Chart 1">
          <a:extLst>
            <a:ext uri="{FF2B5EF4-FFF2-40B4-BE49-F238E27FC236}">
              <a16:creationId xmlns:a16="http://schemas.microsoft.com/office/drawing/2014/main" id="{004EE11B-E45D-07D9-7701-4D7CB0D65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3</xdr:col>
      <xdr:colOff>53340</xdr:colOff>
      <xdr:row>6</xdr:row>
      <xdr:rowOff>11430</xdr:rowOff>
    </xdr:from>
    <xdr:to>
      <xdr:col>10</xdr:col>
      <xdr:colOff>358140</xdr:colOff>
      <xdr:row>21</xdr:row>
      <xdr:rowOff>11430</xdr:rowOff>
    </xdr:to>
    <xdr:graphicFrame macro="">
      <xdr:nvGraphicFramePr>
        <xdr:cNvPr id="2" name="Chart 1">
          <a:extLst>
            <a:ext uri="{FF2B5EF4-FFF2-40B4-BE49-F238E27FC236}">
              <a16:creationId xmlns:a16="http://schemas.microsoft.com/office/drawing/2014/main" id="{AB520F2F-1BD1-2734-219A-6B928CFCE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2</xdr:col>
      <xdr:colOff>586740</xdr:colOff>
      <xdr:row>1</xdr:row>
      <xdr:rowOff>171450</xdr:rowOff>
    </xdr:from>
    <xdr:to>
      <xdr:col>10</xdr:col>
      <xdr:colOff>281940</xdr:colOff>
      <xdr:row>16</xdr:row>
      <xdr:rowOff>171450</xdr:rowOff>
    </xdr:to>
    <xdr:graphicFrame macro="">
      <xdr:nvGraphicFramePr>
        <xdr:cNvPr id="2" name="Chart 1">
          <a:extLst>
            <a:ext uri="{FF2B5EF4-FFF2-40B4-BE49-F238E27FC236}">
              <a16:creationId xmlns:a16="http://schemas.microsoft.com/office/drawing/2014/main" id="{0A71F38B-2F0D-C5FF-E1A8-887183103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3</xdr:col>
      <xdr:colOff>586740</xdr:colOff>
      <xdr:row>6</xdr:row>
      <xdr:rowOff>41910</xdr:rowOff>
    </xdr:from>
    <xdr:to>
      <xdr:col>11</xdr:col>
      <xdr:colOff>281940</xdr:colOff>
      <xdr:row>21</xdr:row>
      <xdr:rowOff>41910</xdr:rowOff>
    </xdr:to>
    <xdr:graphicFrame macro="">
      <xdr:nvGraphicFramePr>
        <xdr:cNvPr id="2" name="Chart 1">
          <a:extLst>
            <a:ext uri="{FF2B5EF4-FFF2-40B4-BE49-F238E27FC236}">
              <a16:creationId xmlns:a16="http://schemas.microsoft.com/office/drawing/2014/main" id="{57FA897E-DF38-CB0E-E82F-DB88BE516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jhar singh" refreshedDate="46268.66241921296" createdVersion="8" refreshedVersion="8" minRefreshableVersion="3" recordCount="1000" xr:uid="{A6A1BD72-90BD-416C-B20C-C92AF463F55E}">
  <cacheSource type="worksheet">
    <worksheetSource ref="A1:Q1001" sheet="Data"/>
  </cacheSource>
  <cacheFields count="21">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20"/>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8"/>
    </cacheField>
    <cacheField name="Payment" numFmtId="0">
      <sharedItems count="3">
        <s v="Ewallet"/>
        <s v="Cash"/>
        <s v="Credit card"/>
      </sharedItems>
    </cacheField>
    <cacheField name="cogs" numFmtId="0">
      <sharedItems containsSemiMixedTypes="0" containsString="0" containsNumber="1" minValue="10.17" maxValue="993" count="990">
        <n v="522.83000000000004"/>
        <n v="76.400000000000006"/>
        <n v="324.31"/>
        <n v="465.76"/>
        <n v="604.16999999999996"/>
        <n v="597.73"/>
        <n v="413.04"/>
        <n v="735.6"/>
        <n v="72.52"/>
        <n v="164.52"/>
        <n v="57.92"/>
        <n v="102.04"/>
        <n v="234.75"/>
        <n v="431.9"/>
        <n v="713.8"/>
        <n v="562.32000000000005"/>
        <n v="482.51"/>
        <n v="435.66"/>
        <n v="164.01"/>
        <n v="80.599999999999994"/>
        <n v="430.2"/>
        <n v="263.94"/>
        <n v="66.400000000000006"/>
        <n v="172.8"/>
        <n v="265.89"/>
        <n v="420.72"/>
        <n v="33.520000000000003"/>
        <n v="175.34"/>
        <n v="441.8"/>
        <n v="224.01"/>
        <n v="470.65"/>
        <n v="702.63"/>
        <n v="670.24"/>
        <n v="193.16"/>
        <n v="397.68"/>
        <n v="68.12"/>
        <n v="313.10000000000002"/>
        <n v="547.91999999999996"/>
        <n v="439.36"/>
        <n v="240.96"/>
        <n v="86.72"/>
        <n v="112.22"/>
        <n v="414.72"/>
        <n v="789.6"/>
        <n v="30.74"/>
        <n v="375.84"/>
        <n v="510.21"/>
        <n v="180.09"/>
        <n v="113.58"/>
        <n v="826.3"/>
        <n v="639.79999999999995"/>
        <n v="222.95"/>
        <n v="71.48"/>
        <n v="15.43"/>
        <n v="32.32"/>
        <n v="687.84"/>
        <n v="88.68"/>
        <n v="716.8"/>
        <n v="723.5"/>
        <n v="183.66"/>
        <n v="74.22"/>
        <n v="334.38"/>
        <n v="495.63"/>
        <n v="158.1"/>
        <n v="302.95999999999998"/>
        <n v="158.69999999999999"/>
        <n v="66.94"/>
        <n v="585.66"/>
        <n v="787.7"/>
        <n v="18.329999999999998"/>
        <n v="894.8"/>
        <n v="621.20000000000005"/>
        <n v="145.56"/>
        <n v="455.46"/>
        <n v="672.03"/>
        <n v="416.5"/>
        <n v="441.36"/>
        <n v="783.1"/>
        <n v="101.9"/>
        <n v="595.14"/>
        <n v="290.04000000000002"/>
        <n v="154"/>
        <n v="321.44"/>
        <n v="244.55"/>
        <n v="581.41999999999996"/>
        <n v="382.6"/>
        <n v="345.66"/>
        <n v="42.47"/>
        <n v="461.94"/>
        <n v="189.52"/>
        <n v="448.6"/>
        <n v="153.86000000000001"/>
        <n v="579.24"/>
        <n v="89.75"/>
        <n v="97.16"/>
        <n v="878.7"/>
        <n v="74.7"/>
        <n v="158.25"/>
        <n v="496.2"/>
        <n v="48.71"/>
        <n v="706.95"/>
        <n v="207.63"/>
        <n v="349.56"/>
        <n v="212.45"/>
        <n v="886.7"/>
        <n v="164.28"/>
        <n v="372.78"/>
        <n v="305.82"/>
        <n v="819.7"/>
        <n v="32.979999999999997"/>
        <n v="294.63"/>
        <n v="509.88"/>
        <n v="522.63"/>
        <n v="727.11"/>
        <n v="81.06"/>
        <n v="109.7"/>
        <n v="51.36"/>
        <n v="109.6"/>
        <n v="106.88"/>
        <n v="796.48"/>
        <n v="399.84"/>
        <n v="899.64"/>
        <n v="511.28"/>
        <n v="451.76"/>
        <n v="655.83"/>
        <n v="161.25"/>
        <n v="285.57"/>
        <n v="548.32000000000005"/>
        <n v="812.52"/>
        <n v="277.33999999999997"/>
        <n v="552.78"/>
        <n v="139.36000000000001"/>
        <n v="524.70000000000005"/>
        <n v="487.8"/>
        <n v="270.66000000000003"/>
        <n v="131.55000000000001"/>
        <n v="206.52"/>
        <n v="519.1"/>
        <n v="580"/>
        <n v="898"/>
        <n v="905"/>
        <n v="686"/>
        <n v="30.41"/>
        <n v="467.7"/>
        <n v="277.56"/>
        <n v="301.39999999999998"/>
        <n v="264.56"/>
        <n v="574.88"/>
        <n v="259.68"/>
        <n v="366.16"/>
        <n v="241.92"/>
        <n v="749.16"/>
        <n v="98.88"/>
        <n v="647.76"/>
        <n v="461.45"/>
        <n v="72.17"/>
        <n v="251.4"/>
        <n v="874.98"/>
        <n v="560.34"/>
        <n v="345.44"/>
        <n v="63.69"/>
        <n v="320.52999999999997"/>
        <n v="152.80000000000001"/>
        <n v="399"/>
        <n v="340.56"/>
        <n v="955.8"/>
        <n v="989.8"/>
        <n v="307.68"/>
        <n v="486.64"/>
        <n v="350.05"/>
        <n v="400.25"/>
        <n v="166.8"/>
        <n v="317.33999999999997"/>
        <n v="158.32"/>
        <n v="304.56"/>
        <n v="177.36"/>
        <n v="157.57"/>
        <n v="443.28"/>
        <n v="260.39999999999998"/>
        <n v="449.82"/>
        <n v="307.76"/>
        <n v="155"/>
        <n v="274.48"/>
        <n v="86.38"/>
        <n v="54.24"/>
        <n v="755.92"/>
        <n v="185.88"/>
        <n v="74.069999999999993"/>
        <n v="279.24"/>
        <n v="231.12"/>
        <n v="147.04"/>
        <n v="790.2"/>
        <n v="102.2"/>
        <n v="163.55000000000001"/>
        <n v="74.290000000000006"/>
        <n v="87.4"/>
        <n v="25.29"/>
        <n v="166"/>
        <n v="356.95"/>
        <n v="114.9"/>
        <n v="229.96"/>
        <n v="429.87"/>
        <n v="259"/>
        <n v="88.85"/>
        <n v="207.27"/>
        <n v="599.85"/>
        <n v="285.3"/>
        <n v="91.11"/>
        <n v="897.57"/>
        <n v="236.07"/>
        <n v="839.34"/>
        <n v="461.8"/>
        <n v="139.26"/>
        <n v="18.28"/>
        <n v="123.85"/>
        <n v="283.92"/>
        <n v="758.96"/>
        <n v="172.02"/>
        <n v="272.10000000000002"/>
        <n v="434.56"/>
        <n v="59.05"/>
        <n v="12.54"/>
        <n v="86.5"/>
        <n v="174.32"/>
        <n v="624.33000000000004"/>
        <n v="148.24"/>
        <n v="544.20000000000005"/>
        <n v="507.36"/>
        <n v="162.74"/>
        <n v="31.77"/>
        <n v="756.81"/>
        <n v="295.27999999999997"/>
        <n v="519.4"/>
        <n v="186.28"/>
        <n v="87.05"/>
        <n v="221.1"/>
        <n v="66.099999999999994"/>
        <n v="89.69"/>
        <n v="224.46"/>
        <n v="119.54"/>
        <n v="186.4"/>
        <n v="250.6"/>
        <n v="750.96"/>
        <n v="380.72"/>
        <n v="244.2"/>
        <n v="89.7"/>
        <n v="310.88"/>
        <n v="511.42"/>
        <n v="418.95"/>
        <n v="351.9"/>
        <n v="28.78"/>
        <n v="95"/>
        <n v="471.2"/>
        <n v="130.47999999999999"/>
        <n v="66.349999999999994"/>
        <n v="155.46"/>
        <n v="129"/>
        <n v="263.76"/>
        <n v="675.54"/>
        <n v="65.8"/>
        <n v="153.19999999999999"/>
        <n v="222.4"/>
        <n v="54.45"/>
        <n v="688.8"/>
        <n v="141.88"/>
        <n v="746"/>
        <n v="282.95999999999998"/>
        <n v="355.4"/>
        <n v="337.15"/>
        <n v="42.24"/>
        <n v="193.86"/>
        <n v="24.06"/>
        <n v="598.26"/>
        <n v="335.79"/>
        <n v="218.2"/>
        <n v="381.68"/>
        <n v="709.9"/>
        <n v="440.2"/>
        <n v="559.67999999999995"/>
        <n v="37"/>
        <n v="15.34"/>
        <n v="598.98"/>
        <n v="190.68"/>
        <n v="333.4"/>
        <n v="74.86"/>
        <n v="213.75"/>
        <n v="339.57"/>
        <n v="664.16"/>
        <n v="403"/>
        <n v="194.95"/>
        <n v="62.48"/>
        <n v="72.72"/>
        <n v="181.1"/>
        <n v="259.60000000000002"/>
        <n v="115.36"/>
        <n v="470.28"/>
        <n v="240.04"/>
        <n v="88.61"/>
        <n v="199.64"/>
        <n v="39.01"/>
        <n v="48.61"/>
        <n v="204.76"/>
        <n v="119.68"/>
        <n v="505.4"/>
        <n v="281.61"/>
        <n v="710.32"/>
        <n v="79.44"/>
        <n v="163.82"/>
        <n v="479.58"/>
        <n v="138.66"/>
        <n v="71.150000000000006"/>
        <n v="139.94999999999999"/>
        <n v="781.3"/>
        <n v="198.74"/>
        <n v="63.24"/>
        <n v="373.95"/>
        <n v="207.69"/>
        <n v="176.28"/>
        <n v="206.37"/>
        <n v="39.42"/>
        <n v="91.56"/>
        <n v="308.85000000000002"/>
        <n v="129.12"/>
        <n v="390.96"/>
        <n v="498.9"/>
        <n v="377.04"/>
        <n v="204.52"/>
        <n v="145.44"/>
        <n v="198.18"/>
        <n v="98.7"/>
        <n v="385.1"/>
        <n v="46.96"/>
        <n v="73.5"/>
        <n v="142.25"/>
        <n v="687.6"/>
        <n v="347.7"/>
        <n v="142.94999999999999"/>
        <n v="385.38"/>
        <n v="144.27000000000001"/>
        <n v="391.79"/>
        <n v="538.29999999999995"/>
        <n v="485.15"/>
        <n v="133.94999999999999"/>
        <n v="701.37"/>
        <n v="71.95"/>
        <n v="714"/>
        <n v="182.14"/>
        <n v="135"/>
        <n v="993"/>
        <n v="361.83"/>
        <n v="383.11"/>
        <n v="243"/>
        <n v="30.24"/>
        <n v="356.56"/>
        <n v="375.5"/>
        <n v="954.4"/>
        <n v="82.5"/>
        <n v="74.97"/>
        <n v="647.67999999999995"/>
        <n v="755.76"/>
        <n v="199.58"/>
        <n v="439.32"/>
        <n v="164.96"/>
        <n v="326.72000000000003"/>
        <n v="461.88"/>
        <n v="143.6"/>
        <n v="193.5"/>
        <n v="183.82"/>
        <n v="121.92"/>
        <n v="420.66"/>
        <n v="252.48"/>
        <n v="335.45"/>
        <n v="483.5"/>
        <n v="318.42"/>
        <n v="668.43"/>
        <n v="387.92"/>
        <n v="94.6"/>
        <n v="329.32"/>
        <n v="53.22"/>
        <n v="498.45"/>
        <n v="299.56"/>
        <n v="204.7"/>
        <n v="75.819999999999993"/>
        <n v="280.62"/>
        <n v="323.2"/>
        <n v="486.63"/>
        <n v="127.54"/>
        <n v="241.44"/>
        <n v="379.5"/>
        <n v="76.819999999999993"/>
        <n v="522.6"/>
        <n v="79.739999999999995"/>
        <n v="387.5"/>
        <n v="271.35000000000002"/>
        <n v="122.31"/>
        <n v="246.36"/>
        <n v="173.16"/>
        <n v="236.58"/>
        <n v="184.88"/>
        <n v="13.98"/>
        <n v="198.75"/>
        <n v="684.53"/>
        <n v="269.04000000000002"/>
        <n v="68.95"/>
        <n v="274.83999999999997"/>
        <n v="226.12"/>
        <n v="119.1"/>
        <n v="342.1"/>
        <n v="43.74"/>
        <n v="104.85"/>
        <n v="77.52"/>
        <n v="407.44"/>
        <n v="96.11"/>
        <n v="181.52"/>
        <n v="81.510000000000005"/>
        <n v="114.44"/>
        <n v="176.54"/>
        <n v="115.8"/>
        <n v="252.15"/>
        <n v="972.1"/>
        <n v="203.36"/>
        <n v="16.28"/>
        <n v="365.49"/>
        <n v="372.19"/>
        <n v="62.61"/>
        <n v="336.35"/>
        <n v="906.5"/>
        <n v="138.16"/>
        <n v="86.54"/>
        <n v="140.76"/>
        <n v="668.78"/>
        <n v="47.44"/>
        <n v="893.16"/>
        <n v="331.72"/>
        <n v="203.94"/>
        <n v="68.16"/>
        <n v="326.88"/>
        <n v="87.2"/>
        <n v="707.44"/>
        <n v="802.89"/>
        <n v="12.78"/>
        <n v="133.69999999999999"/>
        <n v="19.149999999999999"/>
        <n v="276.60000000000002"/>
        <n v="137.22"/>
        <n v="27.07"/>
        <n v="39.119999999999997"/>
        <n v="448.26"/>
        <n v="132.06"/>
        <n v="318.05"/>
        <n v="25"/>
        <n v="83.08"/>
        <n v="147.80000000000001"/>
        <n v="696.6"/>
        <n v="793.9"/>
        <n v="465.7"/>
        <n v="35.89"/>
        <n v="202.6"/>
        <n v="730.5"/>
        <n v="295.8"/>
        <n v="22.62"/>
        <n v="256.7"/>
        <n v="545.5"/>
        <n v="260.05"/>
        <n v="222.12"/>
        <n v="21.58"/>
        <n v="98.84"/>
        <n v="502.62"/>
        <n v="160.19999999999999"/>
        <n v="431.3"/>
        <n v="580.55999999999995"/>
        <n v="322.2"/>
        <n v="195.54"/>
        <n v="166.3"/>
        <n v="336.28"/>
        <n v="343.7"/>
        <n v="38.6"/>
        <n v="527.76"/>
        <n v="328"/>
        <n v="185.7"/>
        <n v="603.79999999999995"/>
        <n v="369.8"/>
        <n v="197.96"/>
        <n v="410.9"/>
        <n v="148.6"/>
        <n v="22.96"/>
        <n v="699.12"/>
        <n v="69.400000000000006"/>
        <n v="196.6"/>
        <n v="202.56"/>
        <n v="121.2"/>
        <n v="199.78"/>
        <n v="607.36"/>
        <n v="126.44"/>
        <n v="541.44000000000005"/>
        <n v="98.13"/>
        <n v="412.16"/>
        <n v="73.97"/>
        <n v="31.9"/>
        <n v="138.80000000000001"/>
        <n v="186.62"/>
        <n v="88.45"/>
        <n v="193.44"/>
        <n v="145.5"/>
        <n v="504.3"/>
        <n v="306.45"/>
        <n v="95.7"/>
        <n v="635.17999999999995"/>
        <n v="214.55"/>
        <n v="379.96"/>
        <n v="696.85"/>
        <n v="408.73"/>
        <n v="51.47"/>
        <n v="274.3"/>
        <n v="196.95"/>
        <n v="69.459999999999994"/>
        <n v="359.6"/>
        <n v="137.13"/>
        <n v="499.02"/>
        <n v="224.64"/>
        <n v="125.74"/>
        <n v="490.26"/>
        <n v="457.05"/>
        <n v="156.84"/>
        <n v="119.72"/>
        <n v="543.6"/>
        <n v="882.81"/>
        <n v="152.58000000000001"/>
        <n v="693.44"/>
        <n v="229.5"/>
        <n v="146.79"/>
        <n v="141.6"/>
        <n v="116.69"/>
        <n v="73.959999999999994"/>
        <n v="97.94"/>
        <n v="292.2"/>
        <n v="524.88"/>
        <n v="92.04"/>
        <n v="75.88"/>
        <n v="80.72"/>
        <n v="112.62"/>
        <n v="71.2"/>
        <n v="155.24"/>
        <n v="294.2"/>
        <n v="548.54999999999995"/>
        <n v="257.7"/>
        <n v="396.36"/>
        <n v="171.81"/>
        <n v="488.79"/>
        <n v="524.16"/>
        <n v="133.26"/>
        <n v="135.24"/>
        <n v="112.44"/>
        <n v="144.08000000000001"/>
        <n v="985.2"/>
        <n v="249.96"/>
        <n v="217.26"/>
        <n v="194.22"/>
        <n v="892"/>
        <n v="339.36"/>
        <n v="447.06"/>
        <n v="198.5"/>
        <n v="812.1"/>
        <n v="493.3"/>
        <n v="591.66"/>
        <n v="559.02"/>
        <n v="517.86"/>
        <n v="410.2"/>
        <n v="266.7"/>
        <n v="70.91"/>
        <n v="144.78"/>
        <n v="429.55"/>
        <n v="569.16999999999996"/>
        <n v="241.2"/>
        <n v="127.08"/>
        <n v="257.08"/>
        <n v="139.02000000000001"/>
        <n v="81.66"/>
        <n v="310.72000000000003"/>
        <n v="185.96"/>
        <n v="72.319999999999993"/>
        <n v="189.18"/>
        <n v="206.84"/>
        <n v="157.02000000000001"/>
        <n v="215.3"/>
        <n v="596.1"/>
        <n v="73.099999999999994"/>
        <n v="279.18"/>
        <n v="169.68"/>
        <n v="45.58"/>
        <n v="225.6"/>
        <n v="290.39999999999998"/>
        <n v="44.46"/>
        <n v="156.6"/>
        <n v="419.94"/>
        <n v="184.25"/>
        <n v="140.63999999999999"/>
        <n v="64.989999999999995"/>
        <n v="775.6"/>
        <n v="327.06"/>
        <n v="363.23"/>
        <n v="127"/>
        <n v="375.55"/>
        <n v="199.16"/>
        <n v="30.61"/>
        <n v="115.78"/>
        <n v="28.96"/>
        <n v="890.73"/>
        <n v="279.66000000000003"/>
        <n v="80.930000000000007"/>
        <n v="674.5"/>
        <n v="348.48"/>
        <n v="435.6"/>
        <n v="439.55"/>
        <n v="591.17999999999995"/>
        <n v="260.76"/>
        <n v="215.04"/>
        <n v="91.61"/>
        <n v="662.13"/>
        <n v="832.5"/>
        <n v="91.35"/>
        <n v="157.76"/>
        <n v="121.74"/>
        <n v="825.8"/>
        <n v="159.9"/>
        <n v="12.09"/>
        <n v="641.9"/>
        <n v="234.93"/>
        <n v="167.54"/>
        <n v="299.10000000000002"/>
        <n v="239.73"/>
        <n v="664.7"/>
        <n v="202.65"/>
        <n v="46.2"/>
        <n v="88.15"/>
        <n v="157.26"/>
        <n v="296.37"/>
        <n v="708.4"/>
        <n v="111.34"/>
        <n v="580.16"/>
        <n v="60.25"/>
        <n v="174.24"/>
        <n v="421.26"/>
        <n v="33.630000000000003"/>
        <n v="30.98"/>
        <n v="247.4"/>
        <n v="378.3"/>
        <n v="334.86"/>
        <n v="727.8"/>
        <n v="335.88"/>
        <n v="240.72"/>
        <n v="47.07"/>
        <n v="99.69"/>
        <n v="264.45"/>
        <n v="139.65"/>
        <n v="55.45"/>
        <n v="128.91"/>
        <n v="119.98"/>
        <n v="352.5"/>
        <n v="871"/>
        <n v="197.6"/>
        <n v="194.52"/>
        <n v="173.22"/>
        <n v="71.88"/>
        <n v="286.26"/>
        <n v="81.239999999999995"/>
        <n v="560.4"/>
        <n v="186.8"/>
        <n v="220.23"/>
        <n v="269.12"/>
        <n v="454.8"/>
        <n v="448.56"/>
        <n v="293.88"/>
        <n v="589.5"/>
        <n v="291"/>
        <n v="39.479999999999997"/>
        <n v="34.81"/>
        <n v="295.92"/>
        <n v="42.96"/>
        <n v="138.47999999999999"/>
        <n v="98.2"/>
        <n v="129.66"/>
        <n v="635.6"/>
        <n v="145.76"/>
        <n v="201.3"/>
        <n v="631.71"/>
        <n v="385.28"/>
        <n v="486.3"/>
        <n v="513.66"/>
        <n v="473.4"/>
        <n v="436.85"/>
        <n v="108.16"/>
        <n v="248.76"/>
        <n v="626.22"/>
        <n v="975"/>
        <n v="483.28"/>
        <n v="96.96"/>
        <n v="197.7"/>
        <n v="724.23"/>
        <n v="795.51"/>
        <n v="502.39"/>
        <n v="172"/>
        <n v="68.98"/>
        <n v="124.96"/>
        <n v="77.099999999999994"/>
        <n v="483.72"/>
        <n v="302.12"/>
        <n v="698.67"/>
        <n v="124.65"/>
        <n v="178.4"/>
        <n v="500.22"/>
        <n v="35.82"/>
        <n v="136.13999999999999"/>
        <n v="104.88"/>
        <n v="178.92"/>
        <n v="815.67"/>
        <n v="132.36000000000001"/>
        <n v="257.39"/>
        <n v="93.36"/>
        <n v="228"/>
        <n v="166.71"/>
        <n v="697.4"/>
        <n v="389.04"/>
        <n v="365.26"/>
        <n v="89.28"/>
        <n v="168"/>
        <n v="19.7"/>
        <n v="531.16"/>
        <n v="53.72"/>
        <n v="819.5"/>
        <n v="568.4"/>
        <n v="587.6"/>
        <n v="732.48"/>
        <n v="845.64"/>
        <n v="389.27"/>
        <n v="84.83"/>
        <n v="143.26"/>
        <n v="75.38"/>
        <n v="253.36"/>
        <n v="38.42"/>
        <n v="652.29999999999995"/>
        <n v="52.65"/>
        <n v="110.61"/>
        <n v="568.61"/>
        <n v="136.4"/>
        <n v="174.2"/>
        <n v="366.4"/>
        <n v="254.61"/>
        <n v="778.32"/>
        <n v="285.92"/>
        <n v="579.12"/>
        <n v="188.5"/>
        <n v="221.56"/>
        <n v="772"/>
        <n v="721.3"/>
        <n v="511.04"/>
        <n v="53.45"/>
        <n v="222"/>
        <n v="763.68"/>
        <n v="228.18"/>
        <n v="82.14"/>
        <n v="382.56"/>
        <n v="68.58"/>
        <n v="382.16"/>
        <n v="601.09"/>
        <n v="475.93"/>
        <n v="52.42"/>
        <n v="131.30000000000001"/>
        <n v="144.30000000000001"/>
        <n v="457.17"/>
        <n v="93.38"/>
        <n v="126.25"/>
        <n v="790.83"/>
        <n v="174.4"/>
        <n v="379.04"/>
        <n v="30.62"/>
        <n v="352.08"/>
        <n v="50.8"/>
        <n v="522.05999999999995"/>
        <n v="575.12"/>
        <n v="54.95"/>
        <n v="181.41"/>
        <n v="412.37"/>
        <n v="46.41"/>
        <n v="274.2"/>
        <n v="973.7"/>
        <n v="648.20000000000005"/>
        <n v="93.22"/>
        <n v="54.36"/>
        <n v="60.87"/>
        <n v="244.9"/>
        <n v="92.78"/>
        <n v="433.45"/>
        <n v="138.06"/>
        <n v="241.6"/>
        <n v="471.73"/>
        <n v="440.64"/>
        <n v="680.31"/>
        <n v="309.88"/>
        <n v="186.36"/>
        <n v="200.92"/>
        <n v="17.75"/>
        <n v="621.79999999999995"/>
        <n v="86"/>
        <n v="402.6"/>
        <n v="324.85000000000002"/>
        <n v="95.15"/>
        <n v="388.96"/>
        <n v="425.68"/>
        <n v="318.08"/>
        <n v="271.04000000000002"/>
        <n v="384.64"/>
        <n v="235.8"/>
        <n v="211.56"/>
        <n v="95.36"/>
        <n v="10.17"/>
        <n v="206.13"/>
        <n v="420.56"/>
        <n v="88.04"/>
        <n v="648.99"/>
        <n v="123.84"/>
        <n v="649.5"/>
        <n v="742.2"/>
        <n v="84.48"/>
        <n v="250.28"/>
        <n v="94.8"/>
        <n v="91.3"/>
        <n v="285.11"/>
        <n v="52.38"/>
        <n v="192.7"/>
        <n v="267.77999999999997"/>
        <n v="558.70000000000005"/>
        <n v="175.32"/>
        <n v="155.82"/>
        <n v="60.3"/>
        <n v="78.94"/>
        <n v="29.74"/>
        <n v="21.32"/>
        <n v="281.33999999999997"/>
        <n v="73.260000000000005"/>
        <n v="22.38"/>
        <n v="655.92"/>
        <n v="594.6"/>
        <n v="74.099999999999994"/>
        <n v="196.96"/>
        <n v="372.33"/>
        <n v="527.9"/>
        <n v="479.75"/>
        <n v="328.59"/>
        <n v="168.96"/>
        <n v="113.24"/>
        <n v="345.54"/>
        <n v="428.67"/>
        <n v="86.27"/>
        <n v="25.52"/>
        <n v="101.52"/>
        <n v="357.49"/>
        <n v="238.77"/>
        <n v="101.43"/>
        <n v="724.24"/>
        <n v="125.64"/>
        <n v="72.930000000000007"/>
        <n v="258.36"/>
        <n v="173.74"/>
        <n v="56.5"/>
        <n v="214.3"/>
        <n v="534.36"/>
        <n v="93.16"/>
        <n v="522.08000000000004"/>
        <n v="52.35"/>
        <n v="39.75"/>
        <n v="720.16"/>
        <n v="96.8"/>
        <n v="332.1"/>
        <n v="81.44"/>
        <n v="319.89999999999998"/>
        <n v="166.68"/>
        <n v="319.06"/>
        <n v="87.9"/>
        <n v="734.7"/>
        <n v="97.52"/>
        <n v="769.2"/>
        <n v="418.3"/>
        <n v="463.28"/>
        <n v="462.45"/>
        <n v="141.9"/>
        <n v="302.7"/>
        <n v="793.28"/>
        <n v="425.18"/>
        <n v="283.62"/>
        <n v="599.20000000000005"/>
        <n v="315.36"/>
        <n v="403.56"/>
        <n v="183.88"/>
        <n v="138.65"/>
        <n v="80.709999999999994"/>
        <n v="116.64"/>
        <n v="313.52"/>
        <n v="846.1"/>
        <n v="414.4"/>
        <n v="159.08000000000001"/>
        <n v="490.1"/>
        <n v="87.45"/>
        <n v="224.52"/>
        <n v="744.96"/>
        <n v="410.72"/>
        <n v="298.8"/>
        <n v="212.94"/>
        <n v="42.85"/>
        <n v="378.68"/>
        <n v="206.91"/>
        <n v="78.78"/>
        <n v="322.11"/>
        <n v="98.22"/>
        <n v="25.46"/>
        <n v="581.98"/>
        <n v="211.32"/>
        <n v="55.12"/>
        <n v="88.31"/>
        <n v="356.58"/>
        <n v="794.25"/>
        <n v="50.62"/>
        <n v="599.52"/>
        <n v="166.7"/>
        <n v="744.4"/>
        <n v="378.9"/>
        <n v="257.16000000000003"/>
        <n v="552.23"/>
        <n v="447.4"/>
        <n v="276.27"/>
        <n v="343.74"/>
        <n v="266.08"/>
        <n v="898.38"/>
        <n v="456.8"/>
        <n v="253.95"/>
        <n v="70.56"/>
        <n v="657.16"/>
        <n v="168.5"/>
        <n v="53.78"/>
        <n v="179.05"/>
        <n v="211.44"/>
        <n v="119.73"/>
        <n v="65.7"/>
        <n v="84.16"/>
        <n v="395.46"/>
        <n v="297.99"/>
        <n v="454.41"/>
        <n v="276.12"/>
        <n v="158"/>
        <n v="887.94"/>
        <n v="91.98"/>
        <n v="41.78"/>
        <n v="15.5"/>
        <n v="290.45999999999998"/>
        <n v="66.66"/>
        <n v="76.540000000000006"/>
        <n v="299.7"/>
        <n v="243.03"/>
        <n v="47.4"/>
        <n v="172.45"/>
        <n v="846.3"/>
        <n v="258.37"/>
        <n v="609.55999999999995"/>
        <n v="240.24"/>
        <n v="172.26"/>
        <n v="99.84"/>
        <n v="298.64"/>
        <n v="159.6"/>
        <n v="25.45"/>
        <n v="67.77"/>
        <n v="238.36"/>
        <n v="232.6"/>
        <n v="877.32"/>
        <n v="699.72"/>
        <n v="674.59"/>
        <n v="318.55"/>
        <n v="29.52"/>
        <n v="496"/>
        <n v="823.4"/>
        <n v="602.96"/>
        <n v="282.8"/>
        <n v="766"/>
        <n v="116.06"/>
        <n v="174.9"/>
        <n v="60.95"/>
        <n v="40.35"/>
        <n v="973.8"/>
        <n v="31.84"/>
        <n v="65.819999999999993"/>
        <n v="618.38"/>
      </sharedItems>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inutes (Time)" numFmtId="0" databaseField="0">
      <fieldGroup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1940506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4.69"/>
    <x v="0"/>
    <n v="26.141500000000001"/>
    <x v="0"/>
    <x v="0"/>
    <x v="0"/>
    <x v="0"/>
    <x v="0"/>
    <n v="4.7619047620000003"/>
    <n v="26.141500000000001"/>
    <n v="9.1"/>
  </r>
  <r>
    <x v="1"/>
    <x v="1"/>
    <x v="1"/>
    <x v="1"/>
    <x v="0"/>
    <x v="1"/>
    <n v="15.28"/>
    <x v="1"/>
    <n v="3.82"/>
    <x v="1"/>
    <x v="1"/>
    <x v="1"/>
    <x v="1"/>
    <x v="1"/>
    <n v="4.7619047620000003"/>
    <n v="3.82"/>
    <n v="9.6"/>
  </r>
  <r>
    <x v="2"/>
    <x v="0"/>
    <x v="0"/>
    <x v="1"/>
    <x v="1"/>
    <x v="2"/>
    <n v="46.33"/>
    <x v="0"/>
    <n v="16.215499999999999"/>
    <x v="2"/>
    <x v="2"/>
    <x v="2"/>
    <x v="2"/>
    <x v="2"/>
    <n v="4.7619047620000003"/>
    <n v="16.215499999999999"/>
    <n v="7.4"/>
  </r>
  <r>
    <x v="3"/>
    <x v="0"/>
    <x v="0"/>
    <x v="0"/>
    <x v="1"/>
    <x v="0"/>
    <n v="58.22"/>
    <x v="2"/>
    <n v="23.288"/>
    <x v="3"/>
    <x v="3"/>
    <x v="3"/>
    <x v="0"/>
    <x v="3"/>
    <n v="4.7619047620000003"/>
    <n v="23.288"/>
    <n v="8.4"/>
  </r>
  <r>
    <x v="4"/>
    <x v="0"/>
    <x v="0"/>
    <x v="1"/>
    <x v="1"/>
    <x v="3"/>
    <n v="86.31"/>
    <x v="0"/>
    <n v="30.208500000000001"/>
    <x v="4"/>
    <x v="4"/>
    <x v="4"/>
    <x v="0"/>
    <x v="4"/>
    <n v="4.7619047620000003"/>
    <n v="30.208500000000001"/>
    <n v="5.3"/>
  </r>
  <r>
    <x v="5"/>
    <x v="1"/>
    <x v="1"/>
    <x v="1"/>
    <x v="1"/>
    <x v="1"/>
    <n v="85.39"/>
    <x v="0"/>
    <n v="29.886500000000002"/>
    <x v="5"/>
    <x v="5"/>
    <x v="5"/>
    <x v="0"/>
    <x v="5"/>
    <n v="4.7619047620000003"/>
    <n v="29.886500000000002"/>
    <n v="4.0999999999999996"/>
  </r>
  <r>
    <x v="6"/>
    <x v="0"/>
    <x v="0"/>
    <x v="0"/>
    <x v="0"/>
    <x v="1"/>
    <n v="68.84"/>
    <x v="3"/>
    <n v="20.652000000000001"/>
    <x v="6"/>
    <x v="6"/>
    <x v="6"/>
    <x v="0"/>
    <x v="6"/>
    <n v="4.7619047620000003"/>
    <n v="20.652000000000001"/>
    <n v="5.8"/>
  </r>
  <r>
    <x v="7"/>
    <x v="1"/>
    <x v="1"/>
    <x v="1"/>
    <x v="0"/>
    <x v="2"/>
    <n v="73.56"/>
    <x v="4"/>
    <n v="36.78"/>
    <x v="7"/>
    <x v="7"/>
    <x v="7"/>
    <x v="0"/>
    <x v="7"/>
    <n v="4.7619047620000003"/>
    <n v="36.78"/>
    <n v="8"/>
  </r>
  <r>
    <x v="8"/>
    <x v="0"/>
    <x v="0"/>
    <x v="0"/>
    <x v="0"/>
    <x v="0"/>
    <n v="36.26"/>
    <x v="5"/>
    <n v="3.6259999999999999"/>
    <x v="8"/>
    <x v="8"/>
    <x v="8"/>
    <x v="2"/>
    <x v="8"/>
    <n v="4.7619047620000003"/>
    <n v="3.6259999999999999"/>
    <n v="7.2"/>
  </r>
  <r>
    <x v="9"/>
    <x v="2"/>
    <x v="2"/>
    <x v="0"/>
    <x v="0"/>
    <x v="4"/>
    <n v="54.84"/>
    <x v="6"/>
    <n v="8.2260000000000009"/>
    <x v="9"/>
    <x v="9"/>
    <x v="9"/>
    <x v="2"/>
    <x v="9"/>
    <n v="4.7619047620000003"/>
    <n v="8.2260000000000009"/>
    <n v="5.9"/>
  </r>
  <r>
    <x v="10"/>
    <x v="2"/>
    <x v="2"/>
    <x v="0"/>
    <x v="0"/>
    <x v="5"/>
    <n v="14.48"/>
    <x v="7"/>
    <n v="2.8959999999999999"/>
    <x v="10"/>
    <x v="10"/>
    <x v="10"/>
    <x v="0"/>
    <x v="10"/>
    <n v="4.7619047620000003"/>
    <n v="2.8959999999999999"/>
    <n v="4.5"/>
  </r>
  <r>
    <x v="11"/>
    <x v="2"/>
    <x v="2"/>
    <x v="0"/>
    <x v="1"/>
    <x v="1"/>
    <n v="25.51"/>
    <x v="7"/>
    <n v="5.1020000000000003"/>
    <x v="11"/>
    <x v="11"/>
    <x v="11"/>
    <x v="1"/>
    <x v="11"/>
    <n v="4.7619047620000003"/>
    <n v="5.1020000000000003"/>
    <n v="6.8"/>
  </r>
  <r>
    <x v="12"/>
    <x v="0"/>
    <x v="0"/>
    <x v="1"/>
    <x v="0"/>
    <x v="1"/>
    <n v="46.95"/>
    <x v="1"/>
    <n v="11.737500000000001"/>
    <x v="12"/>
    <x v="12"/>
    <x v="12"/>
    <x v="0"/>
    <x v="12"/>
    <n v="4.7619047620000003"/>
    <n v="11.737500000000001"/>
    <n v="7.1"/>
  </r>
  <r>
    <x v="13"/>
    <x v="0"/>
    <x v="0"/>
    <x v="1"/>
    <x v="1"/>
    <x v="4"/>
    <n v="43.19"/>
    <x v="4"/>
    <n v="21.594999999999999"/>
    <x v="13"/>
    <x v="13"/>
    <x v="13"/>
    <x v="0"/>
    <x v="13"/>
    <n v="4.7619047620000003"/>
    <n v="21.594999999999999"/>
    <n v="8.1999999999999993"/>
  </r>
  <r>
    <x v="14"/>
    <x v="0"/>
    <x v="0"/>
    <x v="1"/>
    <x v="0"/>
    <x v="0"/>
    <n v="71.38"/>
    <x v="4"/>
    <n v="35.69"/>
    <x v="14"/>
    <x v="14"/>
    <x v="14"/>
    <x v="1"/>
    <x v="14"/>
    <n v="4.7619047620000003"/>
    <n v="35.69"/>
    <n v="5.7"/>
  </r>
  <r>
    <x v="15"/>
    <x v="2"/>
    <x v="2"/>
    <x v="0"/>
    <x v="0"/>
    <x v="3"/>
    <n v="93.72"/>
    <x v="3"/>
    <n v="28.116"/>
    <x v="15"/>
    <x v="15"/>
    <x v="15"/>
    <x v="1"/>
    <x v="15"/>
    <n v="4.7619047620000003"/>
    <n v="28.116"/>
    <n v="4.5"/>
  </r>
  <r>
    <x v="16"/>
    <x v="0"/>
    <x v="0"/>
    <x v="0"/>
    <x v="0"/>
    <x v="0"/>
    <n v="68.930000000000007"/>
    <x v="0"/>
    <n v="24.125499999999999"/>
    <x v="16"/>
    <x v="16"/>
    <x v="16"/>
    <x v="2"/>
    <x v="16"/>
    <n v="4.7619047620000003"/>
    <n v="24.125499999999999"/>
    <n v="4.5999999999999996"/>
  </r>
  <r>
    <x v="17"/>
    <x v="0"/>
    <x v="0"/>
    <x v="1"/>
    <x v="1"/>
    <x v="3"/>
    <n v="72.61"/>
    <x v="3"/>
    <n v="21.783000000000001"/>
    <x v="17"/>
    <x v="17"/>
    <x v="17"/>
    <x v="2"/>
    <x v="17"/>
    <n v="4.7619047620000003"/>
    <n v="21.783000000000001"/>
    <n v="6.9"/>
  </r>
  <r>
    <x v="18"/>
    <x v="0"/>
    <x v="0"/>
    <x v="1"/>
    <x v="1"/>
    <x v="4"/>
    <n v="54.67"/>
    <x v="6"/>
    <n v="8.2004999999999999"/>
    <x v="18"/>
    <x v="18"/>
    <x v="18"/>
    <x v="2"/>
    <x v="18"/>
    <n v="4.7619047620000003"/>
    <n v="8.2004999999999999"/>
    <n v="8.6"/>
  </r>
  <r>
    <x v="19"/>
    <x v="2"/>
    <x v="2"/>
    <x v="1"/>
    <x v="0"/>
    <x v="2"/>
    <n v="40.299999999999997"/>
    <x v="5"/>
    <n v="4.03"/>
    <x v="19"/>
    <x v="16"/>
    <x v="19"/>
    <x v="0"/>
    <x v="19"/>
    <n v="4.7619047620000003"/>
    <n v="4.03"/>
    <n v="4.4000000000000004"/>
  </r>
  <r>
    <x v="20"/>
    <x v="1"/>
    <x v="1"/>
    <x v="0"/>
    <x v="1"/>
    <x v="1"/>
    <n v="86.04"/>
    <x v="1"/>
    <n v="21.51"/>
    <x v="20"/>
    <x v="6"/>
    <x v="20"/>
    <x v="0"/>
    <x v="20"/>
    <n v="4.7619047620000003"/>
    <n v="21.51"/>
    <n v="4.8"/>
  </r>
  <r>
    <x v="21"/>
    <x v="2"/>
    <x v="2"/>
    <x v="1"/>
    <x v="1"/>
    <x v="0"/>
    <n v="87.98"/>
    <x v="6"/>
    <n v="13.196999999999999"/>
    <x v="21"/>
    <x v="19"/>
    <x v="21"/>
    <x v="0"/>
    <x v="21"/>
    <n v="4.7619047620000003"/>
    <n v="13.196999999999999"/>
    <n v="5.0999999999999996"/>
  </r>
  <r>
    <x v="22"/>
    <x v="2"/>
    <x v="2"/>
    <x v="1"/>
    <x v="1"/>
    <x v="2"/>
    <n v="33.200000000000003"/>
    <x v="5"/>
    <n v="3.32"/>
    <x v="22"/>
    <x v="20"/>
    <x v="22"/>
    <x v="2"/>
    <x v="22"/>
    <n v="4.7619047620000003"/>
    <n v="3.32"/>
    <n v="4.4000000000000004"/>
  </r>
  <r>
    <x v="23"/>
    <x v="0"/>
    <x v="0"/>
    <x v="1"/>
    <x v="1"/>
    <x v="1"/>
    <n v="34.56"/>
    <x v="1"/>
    <n v="8.64"/>
    <x v="23"/>
    <x v="21"/>
    <x v="23"/>
    <x v="0"/>
    <x v="23"/>
    <n v="4.7619047620000003"/>
    <n v="8.64"/>
    <n v="9.9"/>
  </r>
  <r>
    <x v="24"/>
    <x v="0"/>
    <x v="0"/>
    <x v="0"/>
    <x v="1"/>
    <x v="3"/>
    <n v="88.63"/>
    <x v="6"/>
    <n v="13.294499999999999"/>
    <x v="24"/>
    <x v="22"/>
    <x v="24"/>
    <x v="0"/>
    <x v="24"/>
    <n v="4.7619047620000003"/>
    <n v="13.294499999999999"/>
    <n v="6"/>
  </r>
  <r>
    <x v="25"/>
    <x v="0"/>
    <x v="0"/>
    <x v="0"/>
    <x v="0"/>
    <x v="2"/>
    <n v="52.59"/>
    <x v="2"/>
    <n v="21.036000000000001"/>
    <x v="25"/>
    <x v="23"/>
    <x v="25"/>
    <x v="2"/>
    <x v="25"/>
    <n v="4.7619047620000003"/>
    <n v="21.036000000000001"/>
    <n v="8.5"/>
  </r>
  <r>
    <x v="26"/>
    <x v="2"/>
    <x v="2"/>
    <x v="1"/>
    <x v="1"/>
    <x v="5"/>
    <n v="33.520000000000003"/>
    <x v="8"/>
    <n v="1.6759999999999999"/>
    <x v="26"/>
    <x v="4"/>
    <x v="26"/>
    <x v="1"/>
    <x v="26"/>
    <n v="4.7619047620000003"/>
    <n v="1.6759999999999999"/>
    <n v="6.7"/>
  </r>
  <r>
    <x v="27"/>
    <x v="0"/>
    <x v="0"/>
    <x v="1"/>
    <x v="0"/>
    <x v="5"/>
    <n v="87.67"/>
    <x v="5"/>
    <n v="8.7669999999999995"/>
    <x v="27"/>
    <x v="24"/>
    <x v="27"/>
    <x v="2"/>
    <x v="27"/>
    <n v="4.7619047620000003"/>
    <n v="8.7669999999999995"/>
    <n v="7.7"/>
  </r>
  <r>
    <x v="28"/>
    <x v="2"/>
    <x v="2"/>
    <x v="1"/>
    <x v="0"/>
    <x v="4"/>
    <n v="88.36"/>
    <x v="1"/>
    <n v="22.09"/>
    <x v="28"/>
    <x v="25"/>
    <x v="28"/>
    <x v="1"/>
    <x v="28"/>
    <n v="4.7619047620000003"/>
    <n v="22.09"/>
    <n v="9.6"/>
  </r>
  <r>
    <x v="29"/>
    <x v="0"/>
    <x v="0"/>
    <x v="1"/>
    <x v="1"/>
    <x v="0"/>
    <n v="24.89"/>
    <x v="9"/>
    <n v="11.2005"/>
    <x v="29"/>
    <x v="20"/>
    <x v="29"/>
    <x v="1"/>
    <x v="29"/>
    <n v="4.7619047620000003"/>
    <n v="11.2005"/>
    <n v="7.4"/>
  </r>
  <r>
    <x v="30"/>
    <x v="2"/>
    <x v="2"/>
    <x v="1"/>
    <x v="1"/>
    <x v="5"/>
    <n v="94.13"/>
    <x v="1"/>
    <n v="23.532499999999999"/>
    <x v="30"/>
    <x v="6"/>
    <x v="30"/>
    <x v="2"/>
    <x v="30"/>
    <n v="4.7619047620000003"/>
    <n v="23.532499999999999"/>
    <n v="4.8"/>
  </r>
  <r>
    <x v="31"/>
    <x v="2"/>
    <x v="2"/>
    <x v="0"/>
    <x v="1"/>
    <x v="3"/>
    <n v="78.069999999999993"/>
    <x v="9"/>
    <n v="35.131500000000003"/>
    <x v="31"/>
    <x v="26"/>
    <x v="31"/>
    <x v="1"/>
    <x v="31"/>
    <n v="4.7619047620000003"/>
    <n v="35.131500000000003"/>
    <n v="4.5"/>
  </r>
  <r>
    <x v="32"/>
    <x v="2"/>
    <x v="2"/>
    <x v="1"/>
    <x v="1"/>
    <x v="3"/>
    <n v="83.78"/>
    <x v="2"/>
    <n v="33.512"/>
    <x v="32"/>
    <x v="8"/>
    <x v="32"/>
    <x v="1"/>
    <x v="32"/>
    <n v="4.7619047620000003"/>
    <n v="33.512"/>
    <n v="5.0999999999999996"/>
  </r>
  <r>
    <x v="33"/>
    <x v="0"/>
    <x v="0"/>
    <x v="1"/>
    <x v="1"/>
    <x v="0"/>
    <n v="96.58"/>
    <x v="5"/>
    <n v="9.6579999999999995"/>
    <x v="33"/>
    <x v="20"/>
    <x v="33"/>
    <x v="2"/>
    <x v="33"/>
    <n v="4.7619047620000003"/>
    <n v="9.6579999999999995"/>
    <n v="5.0999999999999996"/>
  </r>
  <r>
    <x v="34"/>
    <x v="1"/>
    <x v="1"/>
    <x v="0"/>
    <x v="0"/>
    <x v="4"/>
    <n v="99.42"/>
    <x v="7"/>
    <n v="19.884"/>
    <x v="34"/>
    <x v="10"/>
    <x v="34"/>
    <x v="0"/>
    <x v="34"/>
    <n v="4.7619047620000003"/>
    <n v="19.884"/>
    <n v="7.5"/>
  </r>
  <r>
    <x v="35"/>
    <x v="1"/>
    <x v="1"/>
    <x v="0"/>
    <x v="0"/>
    <x v="3"/>
    <n v="68.12"/>
    <x v="8"/>
    <n v="3.4060000000000001"/>
    <x v="35"/>
    <x v="27"/>
    <x v="35"/>
    <x v="0"/>
    <x v="35"/>
    <n v="4.7619047620000003"/>
    <n v="3.4060000000000001"/>
    <n v="6.8"/>
  </r>
  <r>
    <x v="36"/>
    <x v="0"/>
    <x v="0"/>
    <x v="0"/>
    <x v="1"/>
    <x v="3"/>
    <n v="62.62"/>
    <x v="1"/>
    <n v="15.654999999999999"/>
    <x v="36"/>
    <x v="24"/>
    <x v="36"/>
    <x v="0"/>
    <x v="36"/>
    <n v="4.7619047620000003"/>
    <n v="15.654999999999999"/>
    <n v="7"/>
  </r>
  <r>
    <x v="37"/>
    <x v="0"/>
    <x v="0"/>
    <x v="1"/>
    <x v="0"/>
    <x v="1"/>
    <n v="60.88"/>
    <x v="9"/>
    <n v="27.396000000000001"/>
    <x v="37"/>
    <x v="15"/>
    <x v="37"/>
    <x v="0"/>
    <x v="37"/>
    <n v="4.7619047620000003"/>
    <n v="27.396000000000001"/>
    <n v="4.7"/>
  </r>
  <r>
    <x v="38"/>
    <x v="1"/>
    <x v="1"/>
    <x v="1"/>
    <x v="0"/>
    <x v="0"/>
    <n v="54.92"/>
    <x v="2"/>
    <n v="21.968"/>
    <x v="38"/>
    <x v="28"/>
    <x v="38"/>
    <x v="0"/>
    <x v="38"/>
    <n v="4.7619047620000003"/>
    <n v="21.968"/>
    <n v="7.6"/>
  </r>
  <r>
    <x v="39"/>
    <x v="2"/>
    <x v="2"/>
    <x v="0"/>
    <x v="1"/>
    <x v="2"/>
    <n v="30.12"/>
    <x v="2"/>
    <n v="12.048"/>
    <x v="39"/>
    <x v="2"/>
    <x v="39"/>
    <x v="1"/>
    <x v="39"/>
    <n v="4.7619047620000003"/>
    <n v="12.048"/>
    <n v="7.7"/>
  </r>
  <r>
    <x v="40"/>
    <x v="2"/>
    <x v="2"/>
    <x v="0"/>
    <x v="0"/>
    <x v="2"/>
    <n v="86.72"/>
    <x v="8"/>
    <n v="4.3360000000000003"/>
    <x v="40"/>
    <x v="29"/>
    <x v="40"/>
    <x v="0"/>
    <x v="40"/>
    <n v="4.7619047620000003"/>
    <n v="4.3360000000000003"/>
    <n v="7.9"/>
  </r>
  <r>
    <x v="41"/>
    <x v="1"/>
    <x v="1"/>
    <x v="0"/>
    <x v="1"/>
    <x v="2"/>
    <n v="56.11"/>
    <x v="5"/>
    <n v="5.6109999999999998"/>
    <x v="41"/>
    <x v="30"/>
    <x v="41"/>
    <x v="1"/>
    <x v="41"/>
    <n v="4.7619047620000003"/>
    <n v="5.6109999999999998"/>
    <n v="6.3"/>
  </r>
  <r>
    <x v="42"/>
    <x v="2"/>
    <x v="2"/>
    <x v="0"/>
    <x v="0"/>
    <x v="3"/>
    <n v="69.12"/>
    <x v="3"/>
    <n v="20.736000000000001"/>
    <x v="42"/>
    <x v="4"/>
    <x v="42"/>
    <x v="1"/>
    <x v="42"/>
    <n v="4.7619047620000003"/>
    <n v="20.736000000000001"/>
    <n v="5.6"/>
  </r>
  <r>
    <x v="43"/>
    <x v="1"/>
    <x v="1"/>
    <x v="0"/>
    <x v="0"/>
    <x v="4"/>
    <n v="98.7"/>
    <x v="2"/>
    <n v="39.479999999999997"/>
    <x v="43"/>
    <x v="31"/>
    <x v="43"/>
    <x v="1"/>
    <x v="43"/>
    <n v="4.7619047620000003"/>
    <n v="39.479999999999997"/>
    <n v="7.6"/>
  </r>
  <r>
    <x v="44"/>
    <x v="1"/>
    <x v="1"/>
    <x v="0"/>
    <x v="1"/>
    <x v="0"/>
    <n v="15.37"/>
    <x v="5"/>
    <n v="1.5369999999999999"/>
    <x v="44"/>
    <x v="32"/>
    <x v="44"/>
    <x v="1"/>
    <x v="44"/>
    <n v="4.7619047620000003"/>
    <n v="1.5369999999999999"/>
    <n v="7.2"/>
  </r>
  <r>
    <x v="45"/>
    <x v="2"/>
    <x v="2"/>
    <x v="0"/>
    <x v="0"/>
    <x v="1"/>
    <n v="93.96"/>
    <x v="7"/>
    <n v="18.792000000000002"/>
    <x v="45"/>
    <x v="11"/>
    <x v="18"/>
    <x v="1"/>
    <x v="45"/>
    <n v="4.7619047620000003"/>
    <n v="18.792000000000002"/>
    <n v="9.5"/>
  </r>
  <r>
    <x v="46"/>
    <x v="2"/>
    <x v="2"/>
    <x v="0"/>
    <x v="1"/>
    <x v="0"/>
    <n v="56.69"/>
    <x v="9"/>
    <n v="25.5105"/>
    <x v="46"/>
    <x v="33"/>
    <x v="45"/>
    <x v="2"/>
    <x v="46"/>
    <n v="4.7619047620000003"/>
    <n v="25.5105"/>
    <n v="8.4"/>
  </r>
  <r>
    <x v="47"/>
    <x v="2"/>
    <x v="2"/>
    <x v="0"/>
    <x v="0"/>
    <x v="4"/>
    <n v="20.010000000000002"/>
    <x v="9"/>
    <n v="9.0045000000000002"/>
    <x v="47"/>
    <x v="10"/>
    <x v="46"/>
    <x v="0"/>
    <x v="47"/>
    <n v="4.7619047620000003"/>
    <n v="9.0045000000000002"/>
    <n v="4.0999999999999996"/>
  </r>
  <r>
    <x v="48"/>
    <x v="2"/>
    <x v="2"/>
    <x v="0"/>
    <x v="1"/>
    <x v="1"/>
    <n v="18.93"/>
    <x v="3"/>
    <n v="5.6790000000000003"/>
    <x v="48"/>
    <x v="34"/>
    <x v="47"/>
    <x v="2"/>
    <x v="48"/>
    <n v="4.7619047620000003"/>
    <n v="5.6790000000000003"/>
    <n v="8.1"/>
  </r>
  <r>
    <x v="49"/>
    <x v="1"/>
    <x v="1"/>
    <x v="0"/>
    <x v="0"/>
    <x v="5"/>
    <n v="82.63"/>
    <x v="4"/>
    <n v="41.314999999999998"/>
    <x v="49"/>
    <x v="35"/>
    <x v="48"/>
    <x v="0"/>
    <x v="49"/>
    <n v="4.7619047620000003"/>
    <n v="41.314999999999998"/>
    <n v="7.9"/>
  </r>
  <r>
    <x v="50"/>
    <x v="1"/>
    <x v="1"/>
    <x v="0"/>
    <x v="1"/>
    <x v="4"/>
    <n v="91.4"/>
    <x v="0"/>
    <n v="31.99"/>
    <x v="50"/>
    <x v="36"/>
    <x v="49"/>
    <x v="1"/>
    <x v="50"/>
    <n v="4.7619047620000003"/>
    <n v="31.99"/>
    <n v="9.5"/>
  </r>
  <r>
    <x v="51"/>
    <x v="0"/>
    <x v="0"/>
    <x v="0"/>
    <x v="0"/>
    <x v="4"/>
    <n v="44.59"/>
    <x v="1"/>
    <n v="11.147500000000001"/>
    <x v="51"/>
    <x v="34"/>
    <x v="50"/>
    <x v="1"/>
    <x v="51"/>
    <n v="4.7619047620000003"/>
    <n v="11.147500000000001"/>
    <n v="8.5"/>
  </r>
  <r>
    <x v="52"/>
    <x v="2"/>
    <x v="2"/>
    <x v="0"/>
    <x v="0"/>
    <x v="5"/>
    <n v="17.87"/>
    <x v="7"/>
    <n v="3.5739999999999998"/>
    <x v="52"/>
    <x v="23"/>
    <x v="51"/>
    <x v="0"/>
    <x v="52"/>
    <n v="4.7619047620000003"/>
    <n v="3.5739999999999998"/>
    <n v="6.5"/>
  </r>
  <r>
    <x v="53"/>
    <x v="1"/>
    <x v="1"/>
    <x v="0"/>
    <x v="1"/>
    <x v="5"/>
    <n v="15.43"/>
    <x v="8"/>
    <n v="0.77149999999999996"/>
    <x v="53"/>
    <x v="25"/>
    <x v="52"/>
    <x v="2"/>
    <x v="53"/>
    <n v="4.7619047620000003"/>
    <n v="0.77149999999999996"/>
    <n v="6.1"/>
  </r>
  <r>
    <x v="54"/>
    <x v="2"/>
    <x v="2"/>
    <x v="1"/>
    <x v="1"/>
    <x v="2"/>
    <n v="16.16"/>
    <x v="5"/>
    <n v="1.6160000000000001"/>
    <x v="54"/>
    <x v="37"/>
    <x v="53"/>
    <x v="0"/>
    <x v="54"/>
    <n v="4.7619047620000003"/>
    <n v="1.6160000000000001"/>
    <n v="6.5"/>
  </r>
  <r>
    <x v="55"/>
    <x v="1"/>
    <x v="1"/>
    <x v="1"/>
    <x v="0"/>
    <x v="1"/>
    <n v="85.98"/>
    <x v="2"/>
    <n v="34.392000000000003"/>
    <x v="55"/>
    <x v="38"/>
    <x v="54"/>
    <x v="1"/>
    <x v="55"/>
    <n v="4.7619047620000003"/>
    <n v="34.392000000000003"/>
    <n v="8.1999999999999993"/>
  </r>
  <r>
    <x v="56"/>
    <x v="0"/>
    <x v="0"/>
    <x v="0"/>
    <x v="1"/>
    <x v="2"/>
    <n v="44.34"/>
    <x v="5"/>
    <n v="4.4340000000000002"/>
    <x v="56"/>
    <x v="39"/>
    <x v="55"/>
    <x v="1"/>
    <x v="56"/>
    <n v="4.7619047620000003"/>
    <n v="4.4340000000000002"/>
    <n v="5.8"/>
  </r>
  <r>
    <x v="57"/>
    <x v="0"/>
    <x v="0"/>
    <x v="1"/>
    <x v="1"/>
    <x v="0"/>
    <n v="89.6"/>
    <x v="2"/>
    <n v="35.840000000000003"/>
    <x v="57"/>
    <x v="13"/>
    <x v="56"/>
    <x v="0"/>
    <x v="57"/>
    <n v="4.7619047620000003"/>
    <n v="35.840000000000003"/>
    <n v="6.6"/>
  </r>
  <r>
    <x v="58"/>
    <x v="0"/>
    <x v="0"/>
    <x v="0"/>
    <x v="0"/>
    <x v="2"/>
    <n v="72.349999999999994"/>
    <x v="4"/>
    <n v="36.174999999999997"/>
    <x v="58"/>
    <x v="40"/>
    <x v="57"/>
    <x v="1"/>
    <x v="58"/>
    <n v="4.7619047620000003"/>
    <n v="36.174999999999997"/>
    <n v="5.4"/>
  </r>
  <r>
    <x v="59"/>
    <x v="1"/>
    <x v="1"/>
    <x v="1"/>
    <x v="1"/>
    <x v="1"/>
    <n v="30.61"/>
    <x v="3"/>
    <n v="9.1829999999999998"/>
    <x v="59"/>
    <x v="41"/>
    <x v="58"/>
    <x v="1"/>
    <x v="59"/>
    <n v="4.7619047620000003"/>
    <n v="9.1829999999999998"/>
    <n v="9.3000000000000007"/>
  </r>
  <r>
    <x v="60"/>
    <x v="1"/>
    <x v="1"/>
    <x v="0"/>
    <x v="0"/>
    <x v="3"/>
    <n v="24.74"/>
    <x v="6"/>
    <n v="3.7109999999999999"/>
    <x v="60"/>
    <x v="42"/>
    <x v="59"/>
    <x v="2"/>
    <x v="60"/>
    <n v="4.7619047620000003"/>
    <n v="3.7109999999999999"/>
    <n v="10"/>
  </r>
  <r>
    <x v="61"/>
    <x v="1"/>
    <x v="1"/>
    <x v="1"/>
    <x v="1"/>
    <x v="2"/>
    <n v="55.73"/>
    <x v="3"/>
    <n v="16.719000000000001"/>
    <x v="61"/>
    <x v="7"/>
    <x v="60"/>
    <x v="0"/>
    <x v="61"/>
    <n v="4.7619047620000003"/>
    <n v="16.719000000000001"/>
    <n v="7"/>
  </r>
  <r>
    <x v="62"/>
    <x v="2"/>
    <x v="2"/>
    <x v="0"/>
    <x v="0"/>
    <x v="3"/>
    <n v="55.07"/>
    <x v="9"/>
    <n v="24.781500000000001"/>
    <x v="62"/>
    <x v="36"/>
    <x v="61"/>
    <x v="0"/>
    <x v="62"/>
    <n v="4.7619047620000003"/>
    <n v="24.781500000000001"/>
    <n v="10"/>
  </r>
  <r>
    <x v="63"/>
    <x v="0"/>
    <x v="0"/>
    <x v="0"/>
    <x v="1"/>
    <x v="3"/>
    <n v="15.81"/>
    <x v="4"/>
    <n v="7.9050000000000002"/>
    <x v="63"/>
    <x v="43"/>
    <x v="62"/>
    <x v="2"/>
    <x v="63"/>
    <n v="4.7619047620000003"/>
    <n v="7.9050000000000002"/>
    <n v="8.6"/>
  </r>
  <r>
    <x v="64"/>
    <x v="2"/>
    <x v="2"/>
    <x v="0"/>
    <x v="1"/>
    <x v="0"/>
    <n v="75.739999999999995"/>
    <x v="7"/>
    <n v="15.148"/>
    <x v="64"/>
    <x v="44"/>
    <x v="63"/>
    <x v="1"/>
    <x v="64"/>
    <n v="4.7619047620000003"/>
    <n v="15.148"/>
    <n v="7.6"/>
  </r>
  <r>
    <x v="65"/>
    <x v="0"/>
    <x v="0"/>
    <x v="0"/>
    <x v="1"/>
    <x v="0"/>
    <n v="15.87"/>
    <x v="4"/>
    <n v="7.9349999999999996"/>
    <x v="65"/>
    <x v="45"/>
    <x v="64"/>
    <x v="1"/>
    <x v="65"/>
    <n v="4.7619047620000003"/>
    <n v="7.9349999999999996"/>
    <n v="5.8"/>
  </r>
  <r>
    <x v="66"/>
    <x v="1"/>
    <x v="1"/>
    <x v="1"/>
    <x v="0"/>
    <x v="0"/>
    <n v="33.47"/>
    <x v="5"/>
    <n v="3.347"/>
    <x v="66"/>
    <x v="34"/>
    <x v="65"/>
    <x v="0"/>
    <x v="66"/>
    <n v="4.7619047620000003"/>
    <n v="3.347"/>
    <n v="6.7"/>
  </r>
  <r>
    <x v="67"/>
    <x v="2"/>
    <x v="2"/>
    <x v="0"/>
    <x v="0"/>
    <x v="5"/>
    <n v="97.61"/>
    <x v="3"/>
    <n v="29.283000000000001"/>
    <x v="67"/>
    <x v="27"/>
    <x v="66"/>
    <x v="0"/>
    <x v="67"/>
    <n v="4.7619047620000003"/>
    <n v="29.283000000000001"/>
    <n v="9.9"/>
  </r>
  <r>
    <x v="68"/>
    <x v="0"/>
    <x v="0"/>
    <x v="1"/>
    <x v="1"/>
    <x v="3"/>
    <n v="78.77"/>
    <x v="4"/>
    <n v="39.384999999999998"/>
    <x v="68"/>
    <x v="46"/>
    <x v="67"/>
    <x v="1"/>
    <x v="68"/>
    <n v="4.7619047620000003"/>
    <n v="39.384999999999998"/>
    <n v="6.4"/>
  </r>
  <r>
    <x v="69"/>
    <x v="0"/>
    <x v="0"/>
    <x v="0"/>
    <x v="0"/>
    <x v="0"/>
    <n v="18.329999999999998"/>
    <x v="8"/>
    <n v="0.91649999999999998"/>
    <x v="69"/>
    <x v="30"/>
    <x v="68"/>
    <x v="1"/>
    <x v="69"/>
    <n v="4.7619047620000003"/>
    <n v="0.91649999999999998"/>
    <n v="4.3"/>
  </r>
  <r>
    <x v="70"/>
    <x v="1"/>
    <x v="1"/>
    <x v="1"/>
    <x v="1"/>
    <x v="4"/>
    <n v="89.48"/>
    <x v="4"/>
    <n v="44.74"/>
    <x v="70"/>
    <x v="47"/>
    <x v="69"/>
    <x v="2"/>
    <x v="70"/>
    <n v="4.7619047620000003"/>
    <n v="44.74"/>
    <n v="9.6"/>
  </r>
  <r>
    <x v="71"/>
    <x v="1"/>
    <x v="1"/>
    <x v="1"/>
    <x v="1"/>
    <x v="5"/>
    <n v="62.12"/>
    <x v="4"/>
    <n v="31.06"/>
    <x v="71"/>
    <x v="48"/>
    <x v="15"/>
    <x v="1"/>
    <x v="71"/>
    <n v="4.7619047620000003"/>
    <n v="31.06"/>
    <n v="5.9"/>
  </r>
  <r>
    <x v="72"/>
    <x v="2"/>
    <x v="2"/>
    <x v="0"/>
    <x v="0"/>
    <x v="4"/>
    <n v="48.52"/>
    <x v="6"/>
    <n v="7.2779999999999996"/>
    <x v="72"/>
    <x v="19"/>
    <x v="70"/>
    <x v="0"/>
    <x v="72"/>
    <n v="4.7619047620000003"/>
    <n v="7.2779999999999996"/>
    <n v="4"/>
  </r>
  <r>
    <x v="73"/>
    <x v="1"/>
    <x v="1"/>
    <x v="1"/>
    <x v="0"/>
    <x v="1"/>
    <n v="75.91"/>
    <x v="3"/>
    <n v="22.773"/>
    <x v="73"/>
    <x v="11"/>
    <x v="71"/>
    <x v="1"/>
    <x v="73"/>
    <n v="4.7619047620000003"/>
    <n v="22.773"/>
    <n v="8.6999999999999993"/>
  </r>
  <r>
    <x v="74"/>
    <x v="0"/>
    <x v="0"/>
    <x v="1"/>
    <x v="1"/>
    <x v="2"/>
    <n v="74.67"/>
    <x v="9"/>
    <n v="33.601500000000001"/>
    <x v="74"/>
    <x v="49"/>
    <x v="60"/>
    <x v="0"/>
    <x v="74"/>
    <n v="4.7619047620000003"/>
    <n v="33.601500000000001"/>
    <n v="9.4"/>
  </r>
  <r>
    <x v="75"/>
    <x v="1"/>
    <x v="1"/>
    <x v="1"/>
    <x v="0"/>
    <x v="1"/>
    <n v="41.65"/>
    <x v="4"/>
    <n v="20.824999999999999"/>
    <x v="75"/>
    <x v="50"/>
    <x v="72"/>
    <x v="2"/>
    <x v="75"/>
    <n v="4.7619047620000003"/>
    <n v="20.824999999999999"/>
    <n v="5.4"/>
  </r>
  <r>
    <x v="76"/>
    <x v="1"/>
    <x v="1"/>
    <x v="0"/>
    <x v="1"/>
    <x v="5"/>
    <n v="49.04"/>
    <x v="9"/>
    <n v="22.068000000000001"/>
    <x v="76"/>
    <x v="51"/>
    <x v="73"/>
    <x v="2"/>
    <x v="76"/>
    <n v="4.7619047620000003"/>
    <n v="22.068000000000001"/>
    <n v="8.6"/>
  </r>
  <r>
    <x v="77"/>
    <x v="0"/>
    <x v="0"/>
    <x v="0"/>
    <x v="0"/>
    <x v="5"/>
    <n v="20.010000000000002"/>
    <x v="9"/>
    <n v="9.0045000000000002"/>
    <x v="47"/>
    <x v="52"/>
    <x v="74"/>
    <x v="2"/>
    <x v="47"/>
    <n v="4.7619047620000003"/>
    <n v="9.0045000000000002"/>
    <n v="5.7"/>
  </r>
  <r>
    <x v="78"/>
    <x v="1"/>
    <x v="1"/>
    <x v="0"/>
    <x v="0"/>
    <x v="4"/>
    <n v="78.31"/>
    <x v="4"/>
    <n v="39.155000000000001"/>
    <x v="77"/>
    <x v="19"/>
    <x v="75"/>
    <x v="0"/>
    <x v="77"/>
    <n v="4.7619047620000003"/>
    <n v="39.155000000000001"/>
    <n v="6.6"/>
  </r>
  <r>
    <x v="79"/>
    <x v="1"/>
    <x v="1"/>
    <x v="1"/>
    <x v="0"/>
    <x v="0"/>
    <n v="20.38"/>
    <x v="1"/>
    <n v="5.0949999999999998"/>
    <x v="78"/>
    <x v="49"/>
    <x v="76"/>
    <x v="1"/>
    <x v="78"/>
    <n v="4.7619047620000003"/>
    <n v="5.0949999999999998"/>
    <n v="6"/>
  </r>
  <r>
    <x v="80"/>
    <x v="1"/>
    <x v="1"/>
    <x v="1"/>
    <x v="0"/>
    <x v="0"/>
    <n v="99.19"/>
    <x v="3"/>
    <n v="29.757000000000001"/>
    <x v="79"/>
    <x v="18"/>
    <x v="51"/>
    <x v="2"/>
    <x v="79"/>
    <n v="4.7619047620000003"/>
    <n v="29.757000000000001"/>
    <n v="5.5"/>
  </r>
  <r>
    <x v="81"/>
    <x v="2"/>
    <x v="2"/>
    <x v="1"/>
    <x v="0"/>
    <x v="4"/>
    <n v="96.68"/>
    <x v="6"/>
    <n v="14.502000000000001"/>
    <x v="80"/>
    <x v="53"/>
    <x v="77"/>
    <x v="0"/>
    <x v="80"/>
    <n v="4.7619047620000003"/>
    <n v="14.502000000000001"/>
    <n v="6.4"/>
  </r>
  <r>
    <x v="82"/>
    <x v="1"/>
    <x v="1"/>
    <x v="1"/>
    <x v="1"/>
    <x v="4"/>
    <n v="19.25"/>
    <x v="2"/>
    <n v="7.7"/>
    <x v="81"/>
    <x v="54"/>
    <x v="78"/>
    <x v="0"/>
    <x v="81"/>
    <n v="4.7619047620000003"/>
    <n v="7.7"/>
    <n v="6.6"/>
  </r>
  <r>
    <x v="83"/>
    <x v="1"/>
    <x v="1"/>
    <x v="0"/>
    <x v="0"/>
    <x v="4"/>
    <n v="80.36"/>
    <x v="7"/>
    <n v="16.071999999999999"/>
    <x v="82"/>
    <x v="55"/>
    <x v="40"/>
    <x v="2"/>
    <x v="82"/>
    <n v="4.7619047620000003"/>
    <n v="16.071999999999999"/>
    <n v="8.3000000000000007"/>
  </r>
  <r>
    <x v="84"/>
    <x v="1"/>
    <x v="1"/>
    <x v="0"/>
    <x v="1"/>
    <x v="3"/>
    <n v="48.91"/>
    <x v="1"/>
    <n v="12.227499999999999"/>
    <x v="83"/>
    <x v="11"/>
    <x v="79"/>
    <x v="1"/>
    <x v="83"/>
    <n v="4.7619047620000003"/>
    <n v="12.227499999999999"/>
    <n v="6.6"/>
  </r>
  <r>
    <x v="85"/>
    <x v="1"/>
    <x v="1"/>
    <x v="1"/>
    <x v="0"/>
    <x v="3"/>
    <n v="83.06"/>
    <x v="0"/>
    <n v="29.071000000000002"/>
    <x v="84"/>
    <x v="19"/>
    <x v="80"/>
    <x v="0"/>
    <x v="84"/>
    <n v="4.7619047620000003"/>
    <n v="29.071000000000002"/>
    <n v="4"/>
  </r>
  <r>
    <x v="86"/>
    <x v="1"/>
    <x v="1"/>
    <x v="1"/>
    <x v="1"/>
    <x v="5"/>
    <n v="76.52"/>
    <x v="1"/>
    <n v="19.13"/>
    <x v="85"/>
    <x v="5"/>
    <x v="81"/>
    <x v="1"/>
    <x v="85"/>
    <n v="4.7619047620000003"/>
    <n v="19.13"/>
    <n v="9.9"/>
  </r>
  <r>
    <x v="87"/>
    <x v="0"/>
    <x v="0"/>
    <x v="0"/>
    <x v="1"/>
    <x v="4"/>
    <n v="49.38"/>
    <x v="0"/>
    <n v="17.283000000000001"/>
    <x v="86"/>
    <x v="39"/>
    <x v="82"/>
    <x v="2"/>
    <x v="86"/>
    <n v="4.7619047620000003"/>
    <n v="17.283000000000001"/>
    <n v="7.3"/>
  </r>
  <r>
    <x v="88"/>
    <x v="0"/>
    <x v="0"/>
    <x v="1"/>
    <x v="1"/>
    <x v="3"/>
    <n v="42.47"/>
    <x v="8"/>
    <n v="2.1234999999999999"/>
    <x v="87"/>
    <x v="56"/>
    <x v="83"/>
    <x v="1"/>
    <x v="87"/>
    <n v="4.7619047620000003"/>
    <n v="2.1234999999999999"/>
    <n v="5.7"/>
  </r>
  <r>
    <x v="89"/>
    <x v="2"/>
    <x v="2"/>
    <x v="1"/>
    <x v="0"/>
    <x v="0"/>
    <n v="76.989999999999995"/>
    <x v="3"/>
    <n v="23.097000000000001"/>
    <x v="88"/>
    <x v="33"/>
    <x v="84"/>
    <x v="1"/>
    <x v="88"/>
    <n v="4.7619047620000003"/>
    <n v="23.097000000000001"/>
    <n v="6.1"/>
  </r>
  <r>
    <x v="90"/>
    <x v="1"/>
    <x v="1"/>
    <x v="0"/>
    <x v="0"/>
    <x v="2"/>
    <n v="47.38"/>
    <x v="7"/>
    <n v="9.4760000000000009"/>
    <x v="89"/>
    <x v="54"/>
    <x v="12"/>
    <x v="1"/>
    <x v="89"/>
    <n v="4.7619047620000003"/>
    <n v="9.4760000000000009"/>
    <n v="7.1"/>
  </r>
  <r>
    <x v="91"/>
    <x v="1"/>
    <x v="1"/>
    <x v="1"/>
    <x v="0"/>
    <x v="3"/>
    <n v="44.86"/>
    <x v="4"/>
    <n v="22.43"/>
    <x v="90"/>
    <x v="53"/>
    <x v="85"/>
    <x v="0"/>
    <x v="90"/>
    <n v="4.7619047620000003"/>
    <n v="22.43"/>
    <n v="8.1999999999999993"/>
  </r>
  <r>
    <x v="92"/>
    <x v="0"/>
    <x v="0"/>
    <x v="0"/>
    <x v="0"/>
    <x v="3"/>
    <n v="21.98"/>
    <x v="0"/>
    <n v="7.6929999999999996"/>
    <x v="91"/>
    <x v="8"/>
    <x v="86"/>
    <x v="0"/>
    <x v="91"/>
    <n v="4.7619047620000003"/>
    <n v="7.6929999999999996"/>
    <n v="5.0999999999999996"/>
  </r>
  <r>
    <x v="93"/>
    <x v="2"/>
    <x v="2"/>
    <x v="0"/>
    <x v="1"/>
    <x v="0"/>
    <n v="64.36"/>
    <x v="9"/>
    <n v="28.962"/>
    <x v="92"/>
    <x v="41"/>
    <x v="87"/>
    <x v="2"/>
    <x v="92"/>
    <n v="4.7619047620000003"/>
    <n v="28.962"/>
    <n v="8.6"/>
  </r>
  <r>
    <x v="94"/>
    <x v="1"/>
    <x v="1"/>
    <x v="1"/>
    <x v="1"/>
    <x v="0"/>
    <n v="89.75"/>
    <x v="8"/>
    <n v="4.4874999999999998"/>
    <x v="93"/>
    <x v="10"/>
    <x v="88"/>
    <x v="2"/>
    <x v="93"/>
    <n v="4.7619047620000003"/>
    <n v="4.4874999999999998"/>
    <n v="6.6"/>
  </r>
  <r>
    <x v="95"/>
    <x v="0"/>
    <x v="0"/>
    <x v="1"/>
    <x v="1"/>
    <x v="1"/>
    <n v="97.16"/>
    <x v="8"/>
    <n v="4.8579999999999997"/>
    <x v="94"/>
    <x v="1"/>
    <x v="89"/>
    <x v="0"/>
    <x v="94"/>
    <n v="4.7619047620000003"/>
    <n v="4.8579999999999997"/>
    <n v="7.2"/>
  </r>
  <r>
    <x v="96"/>
    <x v="2"/>
    <x v="2"/>
    <x v="1"/>
    <x v="1"/>
    <x v="0"/>
    <n v="87.87"/>
    <x v="4"/>
    <n v="43.935000000000002"/>
    <x v="95"/>
    <x v="14"/>
    <x v="12"/>
    <x v="0"/>
    <x v="95"/>
    <n v="4.7619047620000003"/>
    <n v="43.935000000000002"/>
    <n v="5.0999999999999996"/>
  </r>
  <r>
    <x v="97"/>
    <x v="1"/>
    <x v="1"/>
    <x v="1"/>
    <x v="0"/>
    <x v="1"/>
    <n v="12.45"/>
    <x v="3"/>
    <n v="3.7349999999999999"/>
    <x v="96"/>
    <x v="57"/>
    <x v="90"/>
    <x v="1"/>
    <x v="96"/>
    <n v="4.7619047620000003"/>
    <n v="3.7349999999999999"/>
    <n v="4.0999999999999996"/>
  </r>
  <r>
    <x v="98"/>
    <x v="0"/>
    <x v="0"/>
    <x v="1"/>
    <x v="1"/>
    <x v="4"/>
    <n v="52.75"/>
    <x v="6"/>
    <n v="7.9124999999999996"/>
    <x v="97"/>
    <x v="28"/>
    <x v="91"/>
    <x v="0"/>
    <x v="97"/>
    <n v="4.7619047620000003"/>
    <n v="7.9124999999999996"/>
    <n v="9.3000000000000007"/>
  </r>
  <r>
    <x v="99"/>
    <x v="2"/>
    <x v="2"/>
    <x v="1"/>
    <x v="1"/>
    <x v="2"/>
    <n v="82.7"/>
    <x v="3"/>
    <n v="24.81"/>
    <x v="98"/>
    <x v="19"/>
    <x v="92"/>
    <x v="1"/>
    <x v="98"/>
    <n v="4.7619047620000003"/>
    <n v="24.81"/>
    <n v="7.4"/>
  </r>
  <r>
    <x v="100"/>
    <x v="1"/>
    <x v="1"/>
    <x v="0"/>
    <x v="1"/>
    <x v="5"/>
    <n v="48.71"/>
    <x v="8"/>
    <n v="2.4355000000000002"/>
    <x v="99"/>
    <x v="58"/>
    <x v="25"/>
    <x v="1"/>
    <x v="99"/>
    <n v="4.7619047620000003"/>
    <n v="2.4355000000000002"/>
    <n v="4.0999999999999996"/>
  </r>
  <r>
    <x v="101"/>
    <x v="1"/>
    <x v="1"/>
    <x v="1"/>
    <x v="1"/>
    <x v="5"/>
    <n v="78.55"/>
    <x v="9"/>
    <n v="35.347499999999997"/>
    <x v="100"/>
    <x v="59"/>
    <x v="93"/>
    <x v="1"/>
    <x v="100"/>
    <n v="4.7619047620000003"/>
    <n v="35.347499999999997"/>
    <n v="7.2"/>
  </r>
  <r>
    <x v="102"/>
    <x v="1"/>
    <x v="1"/>
    <x v="1"/>
    <x v="0"/>
    <x v="1"/>
    <n v="23.07"/>
    <x v="9"/>
    <n v="10.381500000000001"/>
    <x v="101"/>
    <x v="60"/>
    <x v="94"/>
    <x v="1"/>
    <x v="101"/>
    <n v="4.7619047620000003"/>
    <n v="10.381500000000001"/>
    <n v="4.9000000000000004"/>
  </r>
  <r>
    <x v="103"/>
    <x v="0"/>
    <x v="0"/>
    <x v="1"/>
    <x v="1"/>
    <x v="4"/>
    <n v="58.26"/>
    <x v="3"/>
    <n v="17.478000000000002"/>
    <x v="102"/>
    <x v="61"/>
    <x v="95"/>
    <x v="1"/>
    <x v="102"/>
    <n v="4.7619047620000003"/>
    <n v="17.478000000000002"/>
    <n v="9.9"/>
  </r>
  <r>
    <x v="104"/>
    <x v="2"/>
    <x v="2"/>
    <x v="1"/>
    <x v="1"/>
    <x v="0"/>
    <n v="30.35"/>
    <x v="0"/>
    <n v="10.6225"/>
    <x v="103"/>
    <x v="35"/>
    <x v="96"/>
    <x v="1"/>
    <x v="103"/>
    <n v="4.7619047620000003"/>
    <n v="10.6225"/>
    <n v="8"/>
  </r>
  <r>
    <x v="105"/>
    <x v="0"/>
    <x v="0"/>
    <x v="0"/>
    <x v="1"/>
    <x v="1"/>
    <n v="88.67"/>
    <x v="4"/>
    <n v="44.335000000000001"/>
    <x v="104"/>
    <x v="52"/>
    <x v="97"/>
    <x v="0"/>
    <x v="104"/>
    <n v="4.7619047620000003"/>
    <n v="44.335000000000001"/>
    <n v="7.3"/>
  </r>
  <r>
    <x v="106"/>
    <x v="1"/>
    <x v="1"/>
    <x v="1"/>
    <x v="1"/>
    <x v="5"/>
    <n v="27.38"/>
    <x v="3"/>
    <n v="8.2140000000000004"/>
    <x v="105"/>
    <x v="0"/>
    <x v="98"/>
    <x v="2"/>
    <x v="105"/>
    <n v="4.7619047620000003"/>
    <n v="8.2140000000000004"/>
    <n v="7.9"/>
  </r>
  <r>
    <x v="107"/>
    <x v="0"/>
    <x v="0"/>
    <x v="1"/>
    <x v="1"/>
    <x v="3"/>
    <n v="62.13"/>
    <x v="3"/>
    <n v="18.638999999999999"/>
    <x v="106"/>
    <x v="23"/>
    <x v="99"/>
    <x v="1"/>
    <x v="106"/>
    <n v="4.7619047620000003"/>
    <n v="18.638999999999999"/>
    <n v="7.4"/>
  </r>
  <r>
    <x v="108"/>
    <x v="1"/>
    <x v="1"/>
    <x v="1"/>
    <x v="0"/>
    <x v="4"/>
    <n v="33.979999999999997"/>
    <x v="9"/>
    <n v="15.291"/>
    <x v="107"/>
    <x v="62"/>
    <x v="100"/>
    <x v="1"/>
    <x v="107"/>
    <n v="4.7619047620000003"/>
    <n v="15.291"/>
    <n v="4.2"/>
  </r>
  <r>
    <x v="109"/>
    <x v="1"/>
    <x v="1"/>
    <x v="0"/>
    <x v="1"/>
    <x v="1"/>
    <n v="81.97"/>
    <x v="4"/>
    <n v="40.984999999999999"/>
    <x v="108"/>
    <x v="2"/>
    <x v="101"/>
    <x v="1"/>
    <x v="108"/>
    <n v="4.7619047620000003"/>
    <n v="40.984999999999999"/>
    <n v="9.1999999999999993"/>
  </r>
  <r>
    <x v="110"/>
    <x v="2"/>
    <x v="2"/>
    <x v="0"/>
    <x v="0"/>
    <x v="3"/>
    <n v="16.489999999999998"/>
    <x v="5"/>
    <n v="1.649"/>
    <x v="109"/>
    <x v="63"/>
    <x v="102"/>
    <x v="0"/>
    <x v="109"/>
    <n v="4.7619047620000003"/>
    <n v="1.649"/>
    <n v="4.5999999999999996"/>
  </r>
  <r>
    <x v="111"/>
    <x v="1"/>
    <x v="1"/>
    <x v="0"/>
    <x v="0"/>
    <x v="0"/>
    <n v="98.21"/>
    <x v="6"/>
    <n v="14.7315"/>
    <x v="110"/>
    <x v="63"/>
    <x v="103"/>
    <x v="2"/>
    <x v="110"/>
    <n v="4.7619047620000003"/>
    <n v="14.7315"/>
    <n v="7.8"/>
  </r>
  <r>
    <x v="112"/>
    <x v="2"/>
    <x v="2"/>
    <x v="1"/>
    <x v="0"/>
    <x v="5"/>
    <n v="72.84"/>
    <x v="0"/>
    <n v="25.494"/>
    <x v="111"/>
    <x v="42"/>
    <x v="104"/>
    <x v="1"/>
    <x v="111"/>
    <n v="4.7619047620000003"/>
    <n v="25.494"/>
    <n v="8.4"/>
  </r>
  <r>
    <x v="113"/>
    <x v="0"/>
    <x v="0"/>
    <x v="0"/>
    <x v="1"/>
    <x v="2"/>
    <n v="58.07"/>
    <x v="9"/>
    <n v="26.131499999999999"/>
    <x v="112"/>
    <x v="64"/>
    <x v="105"/>
    <x v="0"/>
    <x v="112"/>
    <n v="4.7619047620000003"/>
    <n v="26.131499999999999"/>
    <n v="4.3"/>
  </r>
  <r>
    <x v="114"/>
    <x v="1"/>
    <x v="1"/>
    <x v="0"/>
    <x v="0"/>
    <x v="2"/>
    <n v="80.790000000000006"/>
    <x v="9"/>
    <n v="36.355499999999999"/>
    <x v="113"/>
    <x v="60"/>
    <x v="106"/>
    <x v="2"/>
    <x v="113"/>
    <n v="4.7619047620000003"/>
    <n v="36.355499999999999"/>
    <n v="9.5"/>
  </r>
  <r>
    <x v="115"/>
    <x v="1"/>
    <x v="1"/>
    <x v="1"/>
    <x v="0"/>
    <x v="5"/>
    <n v="27.02"/>
    <x v="6"/>
    <n v="4.0529999999999999"/>
    <x v="114"/>
    <x v="22"/>
    <x v="39"/>
    <x v="2"/>
    <x v="114"/>
    <n v="4.7619047620000003"/>
    <n v="4.0529999999999999"/>
    <n v="7.1"/>
  </r>
  <r>
    <x v="116"/>
    <x v="2"/>
    <x v="2"/>
    <x v="0"/>
    <x v="1"/>
    <x v="5"/>
    <n v="21.94"/>
    <x v="1"/>
    <n v="5.4850000000000003"/>
    <x v="115"/>
    <x v="19"/>
    <x v="107"/>
    <x v="0"/>
    <x v="115"/>
    <n v="4.7619047620000003"/>
    <n v="5.4850000000000003"/>
    <n v="5.3"/>
  </r>
  <r>
    <x v="117"/>
    <x v="2"/>
    <x v="2"/>
    <x v="0"/>
    <x v="1"/>
    <x v="5"/>
    <n v="51.36"/>
    <x v="8"/>
    <n v="2.5680000000000001"/>
    <x v="116"/>
    <x v="65"/>
    <x v="108"/>
    <x v="0"/>
    <x v="116"/>
    <n v="4.7619047620000003"/>
    <n v="2.5680000000000001"/>
    <n v="5.2"/>
  </r>
  <r>
    <x v="118"/>
    <x v="0"/>
    <x v="0"/>
    <x v="1"/>
    <x v="0"/>
    <x v="4"/>
    <n v="10.96"/>
    <x v="4"/>
    <n v="5.48"/>
    <x v="117"/>
    <x v="30"/>
    <x v="109"/>
    <x v="0"/>
    <x v="117"/>
    <n v="4.7619047620000003"/>
    <n v="5.48"/>
    <n v="6"/>
  </r>
  <r>
    <x v="119"/>
    <x v="2"/>
    <x v="2"/>
    <x v="1"/>
    <x v="1"/>
    <x v="2"/>
    <n v="53.44"/>
    <x v="5"/>
    <n v="5.3440000000000003"/>
    <x v="118"/>
    <x v="40"/>
    <x v="89"/>
    <x v="0"/>
    <x v="118"/>
    <n v="4.7619047620000003"/>
    <n v="5.3440000000000003"/>
    <n v="4.0999999999999996"/>
  </r>
  <r>
    <x v="120"/>
    <x v="0"/>
    <x v="0"/>
    <x v="1"/>
    <x v="0"/>
    <x v="1"/>
    <n v="99.56"/>
    <x v="2"/>
    <n v="39.823999999999998"/>
    <x v="119"/>
    <x v="44"/>
    <x v="11"/>
    <x v="2"/>
    <x v="119"/>
    <n v="4.7619047620000003"/>
    <n v="39.823999999999998"/>
    <n v="5.2"/>
  </r>
  <r>
    <x v="121"/>
    <x v="1"/>
    <x v="1"/>
    <x v="0"/>
    <x v="1"/>
    <x v="3"/>
    <n v="57.12"/>
    <x v="0"/>
    <n v="19.992000000000001"/>
    <x v="120"/>
    <x v="52"/>
    <x v="110"/>
    <x v="2"/>
    <x v="120"/>
    <n v="4.7619047620000003"/>
    <n v="19.992000000000001"/>
    <n v="6.5"/>
  </r>
  <r>
    <x v="122"/>
    <x v="2"/>
    <x v="2"/>
    <x v="0"/>
    <x v="1"/>
    <x v="3"/>
    <n v="99.96"/>
    <x v="9"/>
    <n v="44.981999999999999"/>
    <x v="121"/>
    <x v="11"/>
    <x v="111"/>
    <x v="2"/>
    <x v="121"/>
    <n v="4.7619047620000003"/>
    <n v="44.981999999999999"/>
    <n v="4.2"/>
  </r>
  <r>
    <x v="123"/>
    <x v="1"/>
    <x v="1"/>
    <x v="0"/>
    <x v="1"/>
    <x v="2"/>
    <n v="63.91"/>
    <x v="2"/>
    <n v="25.564"/>
    <x v="122"/>
    <x v="45"/>
    <x v="112"/>
    <x v="2"/>
    <x v="122"/>
    <n v="4.7619047620000003"/>
    <n v="25.564"/>
    <n v="4.5999999999999996"/>
  </r>
  <r>
    <x v="124"/>
    <x v="2"/>
    <x v="2"/>
    <x v="0"/>
    <x v="0"/>
    <x v="5"/>
    <n v="56.47"/>
    <x v="2"/>
    <n v="22.588000000000001"/>
    <x v="123"/>
    <x v="11"/>
    <x v="113"/>
    <x v="0"/>
    <x v="123"/>
    <n v="4.7619047620000003"/>
    <n v="22.588000000000001"/>
    <n v="7.3"/>
  </r>
  <r>
    <x v="125"/>
    <x v="0"/>
    <x v="0"/>
    <x v="1"/>
    <x v="0"/>
    <x v="2"/>
    <n v="93.69"/>
    <x v="0"/>
    <n v="32.791499999999999"/>
    <x v="124"/>
    <x v="24"/>
    <x v="114"/>
    <x v="2"/>
    <x v="124"/>
    <n v="4.7619047620000003"/>
    <n v="32.791499999999999"/>
    <n v="4.5"/>
  </r>
  <r>
    <x v="126"/>
    <x v="0"/>
    <x v="0"/>
    <x v="1"/>
    <x v="0"/>
    <x v="3"/>
    <n v="32.25"/>
    <x v="1"/>
    <n v="8.0625"/>
    <x v="125"/>
    <x v="3"/>
    <x v="115"/>
    <x v="1"/>
    <x v="125"/>
    <n v="4.7619047620000003"/>
    <n v="8.0625"/>
    <n v="9"/>
  </r>
  <r>
    <x v="127"/>
    <x v="1"/>
    <x v="1"/>
    <x v="1"/>
    <x v="0"/>
    <x v="5"/>
    <n v="31.73"/>
    <x v="9"/>
    <n v="14.278499999999999"/>
    <x v="126"/>
    <x v="66"/>
    <x v="116"/>
    <x v="2"/>
    <x v="126"/>
    <n v="4.7619047620000003"/>
    <n v="14.278499999999999"/>
    <n v="5.9"/>
  </r>
  <r>
    <x v="128"/>
    <x v="1"/>
    <x v="1"/>
    <x v="0"/>
    <x v="0"/>
    <x v="4"/>
    <n v="68.540000000000006"/>
    <x v="2"/>
    <n v="27.416"/>
    <x v="127"/>
    <x v="66"/>
    <x v="117"/>
    <x v="0"/>
    <x v="127"/>
    <n v="4.7619047620000003"/>
    <n v="27.416"/>
    <n v="8.5"/>
  </r>
  <r>
    <x v="129"/>
    <x v="2"/>
    <x v="2"/>
    <x v="1"/>
    <x v="0"/>
    <x v="3"/>
    <n v="90.28"/>
    <x v="9"/>
    <n v="40.625999999999998"/>
    <x v="128"/>
    <x v="4"/>
    <x v="23"/>
    <x v="0"/>
    <x v="128"/>
    <n v="4.7619047620000003"/>
    <n v="40.625999999999998"/>
    <n v="7.2"/>
  </r>
  <r>
    <x v="130"/>
    <x v="2"/>
    <x v="2"/>
    <x v="1"/>
    <x v="0"/>
    <x v="5"/>
    <n v="39.619999999999997"/>
    <x v="0"/>
    <n v="13.867000000000001"/>
    <x v="129"/>
    <x v="25"/>
    <x v="118"/>
    <x v="1"/>
    <x v="129"/>
    <n v="4.7619047620000003"/>
    <n v="13.867000000000001"/>
    <n v="7.5"/>
  </r>
  <r>
    <x v="131"/>
    <x v="0"/>
    <x v="0"/>
    <x v="0"/>
    <x v="0"/>
    <x v="3"/>
    <n v="92.13"/>
    <x v="3"/>
    <n v="27.638999999999999"/>
    <x v="130"/>
    <x v="43"/>
    <x v="119"/>
    <x v="1"/>
    <x v="130"/>
    <n v="4.7619047620000003"/>
    <n v="27.638999999999999"/>
    <n v="8.3000000000000007"/>
  </r>
  <r>
    <x v="132"/>
    <x v="2"/>
    <x v="2"/>
    <x v="1"/>
    <x v="0"/>
    <x v="3"/>
    <n v="34.840000000000003"/>
    <x v="7"/>
    <n v="6.968"/>
    <x v="131"/>
    <x v="34"/>
    <x v="120"/>
    <x v="1"/>
    <x v="131"/>
    <n v="4.7619047620000003"/>
    <n v="6.968"/>
    <n v="7.4"/>
  </r>
  <r>
    <x v="133"/>
    <x v="2"/>
    <x v="2"/>
    <x v="0"/>
    <x v="1"/>
    <x v="1"/>
    <n v="87.45"/>
    <x v="3"/>
    <n v="26.234999999999999"/>
    <x v="132"/>
    <x v="21"/>
    <x v="121"/>
    <x v="2"/>
    <x v="132"/>
    <n v="4.7619047620000003"/>
    <n v="26.234999999999999"/>
    <n v="8.8000000000000007"/>
  </r>
  <r>
    <x v="134"/>
    <x v="1"/>
    <x v="1"/>
    <x v="1"/>
    <x v="0"/>
    <x v="0"/>
    <n v="81.3"/>
    <x v="3"/>
    <n v="24.39"/>
    <x v="133"/>
    <x v="1"/>
    <x v="122"/>
    <x v="0"/>
    <x v="133"/>
    <n v="4.7619047620000003"/>
    <n v="24.39"/>
    <n v="5.3"/>
  </r>
  <r>
    <x v="135"/>
    <x v="1"/>
    <x v="1"/>
    <x v="1"/>
    <x v="1"/>
    <x v="5"/>
    <n v="90.22"/>
    <x v="6"/>
    <n v="13.532999999999999"/>
    <x v="134"/>
    <x v="67"/>
    <x v="30"/>
    <x v="1"/>
    <x v="134"/>
    <n v="4.7619047620000003"/>
    <n v="13.532999999999999"/>
    <n v="6.2"/>
  </r>
  <r>
    <x v="136"/>
    <x v="0"/>
    <x v="0"/>
    <x v="1"/>
    <x v="0"/>
    <x v="1"/>
    <n v="26.31"/>
    <x v="1"/>
    <n v="6.5774999999999997"/>
    <x v="135"/>
    <x v="68"/>
    <x v="123"/>
    <x v="2"/>
    <x v="135"/>
    <n v="4.7619047620000003"/>
    <n v="6.5774999999999997"/>
    <n v="8.8000000000000007"/>
  </r>
  <r>
    <x v="137"/>
    <x v="0"/>
    <x v="0"/>
    <x v="0"/>
    <x v="0"/>
    <x v="2"/>
    <n v="34.42"/>
    <x v="3"/>
    <n v="10.326000000000001"/>
    <x v="136"/>
    <x v="67"/>
    <x v="124"/>
    <x v="1"/>
    <x v="136"/>
    <n v="4.7619047620000003"/>
    <n v="10.326000000000001"/>
    <n v="9.8000000000000007"/>
  </r>
  <r>
    <x v="138"/>
    <x v="2"/>
    <x v="2"/>
    <x v="1"/>
    <x v="1"/>
    <x v="3"/>
    <n v="51.91"/>
    <x v="4"/>
    <n v="25.954999999999998"/>
    <x v="137"/>
    <x v="69"/>
    <x v="125"/>
    <x v="1"/>
    <x v="137"/>
    <n v="4.7619047620000003"/>
    <n v="25.954999999999998"/>
    <n v="8.1999999999999993"/>
  </r>
  <r>
    <x v="139"/>
    <x v="0"/>
    <x v="0"/>
    <x v="1"/>
    <x v="1"/>
    <x v="3"/>
    <n v="72.5"/>
    <x v="2"/>
    <n v="29"/>
    <x v="138"/>
    <x v="32"/>
    <x v="126"/>
    <x v="0"/>
    <x v="138"/>
    <n v="4.7619047620000003"/>
    <n v="29"/>
    <n v="9.1999999999999993"/>
  </r>
  <r>
    <x v="140"/>
    <x v="1"/>
    <x v="1"/>
    <x v="0"/>
    <x v="0"/>
    <x v="3"/>
    <n v="89.8"/>
    <x v="4"/>
    <n v="44.9"/>
    <x v="139"/>
    <x v="54"/>
    <x v="127"/>
    <x v="2"/>
    <x v="139"/>
    <n v="4.7619047620000003"/>
    <n v="44.9"/>
    <n v="5.4"/>
  </r>
  <r>
    <x v="141"/>
    <x v="1"/>
    <x v="1"/>
    <x v="0"/>
    <x v="1"/>
    <x v="0"/>
    <n v="90.5"/>
    <x v="4"/>
    <n v="45.25"/>
    <x v="140"/>
    <x v="25"/>
    <x v="128"/>
    <x v="1"/>
    <x v="140"/>
    <n v="4.7619047620000003"/>
    <n v="45.25"/>
    <n v="8.1"/>
  </r>
  <r>
    <x v="142"/>
    <x v="1"/>
    <x v="1"/>
    <x v="0"/>
    <x v="0"/>
    <x v="0"/>
    <n v="68.599999999999994"/>
    <x v="4"/>
    <n v="34.299999999999997"/>
    <x v="141"/>
    <x v="63"/>
    <x v="129"/>
    <x v="1"/>
    <x v="141"/>
    <n v="4.7619047620000003"/>
    <n v="34.299999999999997"/>
    <n v="9.1"/>
  </r>
  <r>
    <x v="143"/>
    <x v="1"/>
    <x v="1"/>
    <x v="0"/>
    <x v="0"/>
    <x v="4"/>
    <n v="30.41"/>
    <x v="8"/>
    <n v="1.5205"/>
    <x v="142"/>
    <x v="70"/>
    <x v="130"/>
    <x v="2"/>
    <x v="142"/>
    <n v="4.7619047620000003"/>
    <n v="1.5205"/>
    <n v="8.4"/>
  </r>
  <r>
    <x v="144"/>
    <x v="0"/>
    <x v="0"/>
    <x v="1"/>
    <x v="0"/>
    <x v="2"/>
    <n v="77.95"/>
    <x v="3"/>
    <n v="23.385000000000002"/>
    <x v="143"/>
    <x v="18"/>
    <x v="131"/>
    <x v="0"/>
    <x v="143"/>
    <n v="4.7619047620000003"/>
    <n v="23.385000000000002"/>
    <n v="8"/>
  </r>
  <r>
    <x v="145"/>
    <x v="1"/>
    <x v="1"/>
    <x v="1"/>
    <x v="0"/>
    <x v="0"/>
    <n v="46.26"/>
    <x v="3"/>
    <n v="13.878"/>
    <x v="144"/>
    <x v="1"/>
    <x v="132"/>
    <x v="2"/>
    <x v="144"/>
    <n v="4.7619047620000003"/>
    <n v="13.878"/>
    <n v="9.5"/>
  </r>
  <r>
    <x v="146"/>
    <x v="0"/>
    <x v="0"/>
    <x v="0"/>
    <x v="0"/>
    <x v="5"/>
    <n v="30.14"/>
    <x v="4"/>
    <n v="15.07"/>
    <x v="145"/>
    <x v="34"/>
    <x v="35"/>
    <x v="0"/>
    <x v="145"/>
    <n v="4.7619047620000003"/>
    <n v="15.07"/>
    <n v="9.1999999999999993"/>
  </r>
  <r>
    <x v="147"/>
    <x v="1"/>
    <x v="1"/>
    <x v="1"/>
    <x v="1"/>
    <x v="0"/>
    <n v="66.14"/>
    <x v="7"/>
    <n v="13.228"/>
    <x v="146"/>
    <x v="35"/>
    <x v="69"/>
    <x v="2"/>
    <x v="146"/>
    <n v="4.7619047620000003"/>
    <n v="13.228"/>
    <n v="5.6"/>
  </r>
  <r>
    <x v="148"/>
    <x v="2"/>
    <x v="2"/>
    <x v="0"/>
    <x v="1"/>
    <x v="2"/>
    <n v="71.86"/>
    <x v="2"/>
    <n v="28.744"/>
    <x v="147"/>
    <x v="43"/>
    <x v="133"/>
    <x v="2"/>
    <x v="147"/>
    <n v="4.7619047620000003"/>
    <n v="28.744"/>
    <n v="6.2"/>
  </r>
  <r>
    <x v="149"/>
    <x v="0"/>
    <x v="0"/>
    <x v="1"/>
    <x v="1"/>
    <x v="0"/>
    <n v="32.46"/>
    <x v="2"/>
    <n v="12.984"/>
    <x v="148"/>
    <x v="39"/>
    <x v="128"/>
    <x v="2"/>
    <x v="148"/>
    <n v="4.7619047620000003"/>
    <n v="12.984"/>
    <n v="4.9000000000000004"/>
  </r>
  <r>
    <x v="150"/>
    <x v="2"/>
    <x v="2"/>
    <x v="0"/>
    <x v="0"/>
    <x v="5"/>
    <n v="91.54"/>
    <x v="7"/>
    <n v="18.308"/>
    <x v="149"/>
    <x v="28"/>
    <x v="25"/>
    <x v="2"/>
    <x v="149"/>
    <n v="4.7619047620000003"/>
    <n v="18.308"/>
    <n v="4.8"/>
  </r>
  <r>
    <x v="151"/>
    <x v="1"/>
    <x v="1"/>
    <x v="0"/>
    <x v="1"/>
    <x v="3"/>
    <n v="34.56"/>
    <x v="0"/>
    <n v="12.096"/>
    <x v="150"/>
    <x v="16"/>
    <x v="134"/>
    <x v="2"/>
    <x v="150"/>
    <n v="4.7619047620000003"/>
    <n v="12.096"/>
    <n v="7.3"/>
  </r>
  <r>
    <x v="152"/>
    <x v="0"/>
    <x v="0"/>
    <x v="1"/>
    <x v="1"/>
    <x v="5"/>
    <n v="83.24"/>
    <x v="9"/>
    <n v="37.457999999999998"/>
    <x v="151"/>
    <x v="71"/>
    <x v="135"/>
    <x v="2"/>
    <x v="151"/>
    <n v="4.7619047620000003"/>
    <n v="37.457999999999998"/>
    <n v="7.4"/>
  </r>
  <r>
    <x v="153"/>
    <x v="1"/>
    <x v="1"/>
    <x v="1"/>
    <x v="0"/>
    <x v="4"/>
    <n v="16.48"/>
    <x v="3"/>
    <n v="4.944"/>
    <x v="152"/>
    <x v="13"/>
    <x v="136"/>
    <x v="0"/>
    <x v="152"/>
    <n v="4.7619047620000003"/>
    <n v="4.944"/>
    <n v="9.9"/>
  </r>
  <r>
    <x v="154"/>
    <x v="1"/>
    <x v="1"/>
    <x v="1"/>
    <x v="0"/>
    <x v="3"/>
    <n v="80.97"/>
    <x v="2"/>
    <n v="32.387999999999998"/>
    <x v="153"/>
    <x v="26"/>
    <x v="137"/>
    <x v="1"/>
    <x v="153"/>
    <n v="4.7619047620000003"/>
    <n v="32.387999999999998"/>
    <n v="9.3000000000000007"/>
  </r>
  <r>
    <x v="155"/>
    <x v="0"/>
    <x v="0"/>
    <x v="0"/>
    <x v="1"/>
    <x v="4"/>
    <n v="92.29"/>
    <x v="1"/>
    <n v="23.072500000000002"/>
    <x v="154"/>
    <x v="9"/>
    <x v="57"/>
    <x v="2"/>
    <x v="154"/>
    <n v="4.7619047620000003"/>
    <n v="23.072500000000002"/>
    <n v="9"/>
  </r>
  <r>
    <x v="156"/>
    <x v="2"/>
    <x v="2"/>
    <x v="0"/>
    <x v="1"/>
    <x v="1"/>
    <n v="72.17"/>
    <x v="8"/>
    <n v="3.6084999999999998"/>
    <x v="155"/>
    <x v="72"/>
    <x v="138"/>
    <x v="1"/>
    <x v="155"/>
    <n v="4.7619047620000003"/>
    <n v="3.6084999999999998"/>
    <n v="6.1"/>
  </r>
  <r>
    <x v="157"/>
    <x v="2"/>
    <x v="2"/>
    <x v="1"/>
    <x v="1"/>
    <x v="2"/>
    <n v="50.28"/>
    <x v="1"/>
    <n v="12.57"/>
    <x v="156"/>
    <x v="37"/>
    <x v="139"/>
    <x v="0"/>
    <x v="156"/>
    <n v="4.7619047620000003"/>
    <n v="12.57"/>
    <n v="9.6999999999999993"/>
  </r>
  <r>
    <x v="158"/>
    <x v="2"/>
    <x v="2"/>
    <x v="0"/>
    <x v="1"/>
    <x v="0"/>
    <n v="97.22"/>
    <x v="9"/>
    <n v="43.749000000000002"/>
    <x v="157"/>
    <x v="73"/>
    <x v="140"/>
    <x v="0"/>
    <x v="157"/>
    <n v="4.7619047620000003"/>
    <n v="43.749000000000002"/>
    <n v="6"/>
  </r>
  <r>
    <x v="159"/>
    <x v="2"/>
    <x v="2"/>
    <x v="1"/>
    <x v="1"/>
    <x v="3"/>
    <n v="93.39"/>
    <x v="3"/>
    <n v="28.016999999999999"/>
    <x v="158"/>
    <x v="39"/>
    <x v="141"/>
    <x v="0"/>
    <x v="158"/>
    <n v="4.7619047620000003"/>
    <n v="28.016999999999999"/>
    <n v="10"/>
  </r>
  <r>
    <x v="160"/>
    <x v="1"/>
    <x v="1"/>
    <x v="1"/>
    <x v="0"/>
    <x v="4"/>
    <n v="43.18"/>
    <x v="2"/>
    <n v="17.271999999999998"/>
    <x v="159"/>
    <x v="64"/>
    <x v="30"/>
    <x v="2"/>
    <x v="159"/>
    <n v="4.7619047620000003"/>
    <n v="17.271999999999998"/>
    <n v="8.3000000000000007"/>
  </r>
  <r>
    <x v="161"/>
    <x v="0"/>
    <x v="0"/>
    <x v="1"/>
    <x v="1"/>
    <x v="3"/>
    <n v="63.69"/>
    <x v="8"/>
    <n v="3.1844999999999999"/>
    <x v="160"/>
    <x v="6"/>
    <x v="142"/>
    <x v="1"/>
    <x v="160"/>
    <n v="4.7619047620000003"/>
    <n v="3.1844999999999999"/>
    <n v="6"/>
  </r>
  <r>
    <x v="162"/>
    <x v="0"/>
    <x v="0"/>
    <x v="1"/>
    <x v="1"/>
    <x v="4"/>
    <n v="45.79"/>
    <x v="0"/>
    <n v="16.026499999999999"/>
    <x v="161"/>
    <x v="45"/>
    <x v="143"/>
    <x v="2"/>
    <x v="161"/>
    <n v="4.7619047620000003"/>
    <n v="16.026499999999999"/>
    <n v="7"/>
  </r>
  <r>
    <x v="163"/>
    <x v="1"/>
    <x v="1"/>
    <x v="1"/>
    <x v="1"/>
    <x v="3"/>
    <n v="76.400000000000006"/>
    <x v="5"/>
    <n v="7.64"/>
    <x v="162"/>
    <x v="74"/>
    <x v="144"/>
    <x v="0"/>
    <x v="162"/>
    <n v="4.7619047620000003"/>
    <n v="7.64"/>
    <n v="6.5"/>
  </r>
  <r>
    <x v="164"/>
    <x v="2"/>
    <x v="2"/>
    <x v="1"/>
    <x v="1"/>
    <x v="4"/>
    <n v="39.9"/>
    <x v="4"/>
    <n v="19.95"/>
    <x v="163"/>
    <x v="9"/>
    <x v="145"/>
    <x v="2"/>
    <x v="163"/>
    <n v="4.7619047620000003"/>
    <n v="19.95"/>
    <n v="5.9"/>
  </r>
  <r>
    <x v="165"/>
    <x v="2"/>
    <x v="2"/>
    <x v="0"/>
    <x v="1"/>
    <x v="0"/>
    <n v="42.57"/>
    <x v="2"/>
    <n v="17.027999999999999"/>
    <x v="164"/>
    <x v="6"/>
    <x v="146"/>
    <x v="0"/>
    <x v="164"/>
    <n v="4.7619047620000003"/>
    <n v="17.027999999999999"/>
    <n v="5.6"/>
  </r>
  <r>
    <x v="166"/>
    <x v="1"/>
    <x v="1"/>
    <x v="1"/>
    <x v="1"/>
    <x v="2"/>
    <n v="95.58"/>
    <x v="4"/>
    <n v="47.79"/>
    <x v="165"/>
    <x v="65"/>
    <x v="147"/>
    <x v="1"/>
    <x v="165"/>
    <n v="4.7619047620000003"/>
    <n v="47.79"/>
    <n v="4.8"/>
  </r>
  <r>
    <x v="167"/>
    <x v="0"/>
    <x v="0"/>
    <x v="1"/>
    <x v="1"/>
    <x v="5"/>
    <n v="98.98"/>
    <x v="4"/>
    <n v="49.49"/>
    <x v="166"/>
    <x v="4"/>
    <x v="148"/>
    <x v="2"/>
    <x v="166"/>
    <n v="4.7619047620000003"/>
    <n v="49.49"/>
    <n v="8.6999999999999993"/>
  </r>
  <r>
    <x v="168"/>
    <x v="0"/>
    <x v="0"/>
    <x v="1"/>
    <x v="1"/>
    <x v="4"/>
    <n v="51.28"/>
    <x v="3"/>
    <n v="15.384"/>
    <x v="167"/>
    <x v="64"/>
    <x v="149"/>
    <x v="1"/>
    <x v="167"/>
    <n v="4.7619047620000003"/>
    <n v="15.384"/>
    <n v="6.5"/>
  </r>
  <r>
    <x v="169"/>
    <x v="0"/>
    <x v="0"/>
    <x v="0"/>
    <x v="1"/>
    <x v="3"/>
    <n v="69.52"/>
    <x v="0"/>
    <n v="24.332000000000001"/>
    <x v="168"/>
    <x v="60"/>
    <x v="50"/>
    <x v="2"/>
    <x v="168"/>
    <n v="4.7619047620000003"/>
    <n v="24.332000000000001"/>
    <n v="8.5"/>
  </r>
  <r>
    <x v="170"/>
    <x v="0"/>
    <x v="0"/>
    <x v="1"/>
    <x v="1"/>
    <x v="0"/>
    <n v="70.010000000000005"/>
    <x v="1"/>
    <n v="17.502500000000001"/>
    <x v="169"/>
    <x v="75"/>
    <x v="150"/>
    <x v="0"/>
    <x v="169"/>
    <n v="4.7619047620000003"/>
    <n v="17.502500000000001"/>
    <n v="5.5"/>
  </r>
  <r>
    <x v="171"/>
    <x v="2"/>
    <x v="2"/>
    <x v="0"/>
    <x v="1"/>
    <x v="4"/>
    <n v="80.05"/>
    <x v="1"/>
    <n v="20.012499999999999"/>
    <x v="170"/>
    <x v="53"/>
    <x v="47"/>
    <x v="2"/>
    <x v="170"/>
    <n v="4.7619047620000003"/>
    <n v="20.012499999999999"/>
    <n v="9.4"/>
  </r>
  <r>
    <x v="172"/>
    <x v="1"/>
    <x v="1"/>
    <x v="1"/>
    <x v="1"/>
    <x v="1"/>
    <n v="20.85"/>
    <x v="2"/>
    <n v="8.34"/>
    <x v="171"/>
    <x v="2"/>
    <x v="151"/>
    <x v="1"/>
    <x v="171"/>
    <n v="4.7619047620000003"/>
    <n v="8.34"/>
    <n v="6.3"/>
  </r>
  <r>
    <x v="173"/>
    <x v="2"/>
    <x v="2"/>
    <x v="0"/>
    <x v="1"/>
    <x v="1"/>
    <n v="52.89"/>
    <x v="3"/>
    <n v="15.867000000000001"/>
    <x v="172"/>
    <x v="64"/>
    <x v="152"/>
    <x v="2"/>
    <x v="172"/>
    <n v="4.7619047620000003"/>
    <n v="15.867000000000001"/>
    <n v="9.8000000000000007"/>
  </r>
  <r>
    <x v="174"/>
    <x v="2"/>
    <x v="2"/>
    <x v="1"/>
    <x v="1"/>
    <x v="4"/>
    <n v="19.79"/>
    <x v="2"/>
    <n v="7.9160000000000004"/>
    <x v="173"/>
    <x v="68"/>
    <x v="153"/>
    <x v="0"/>
    <x v="173"/>
    <n v="4.7619047620000003"/>
    <n v="7.9160000000000004"/>
    <n v="8.6999999999999993"/>
  </r>
  <r>
    <x v="175"/>
    <x v="0"/>
    <x v="0"/>
    <x v="0"/>
    <x v="1"/>
    <x v="2"/>
    <n v="33.840000000000003"/>
    <x v="9"/>
    <n v="15.228"/>
    <x v="174"/>
    <x v="76"/>
    <x v="142"/>
    <x v="0"/>
    <x v="174"/>
    <n v="4.7619047620000003"/>
    <n v="15.228"/>
    <n v="8.8000000000000007"/>
  </r>
  <r>
    <x v="176"/>
    <x v="0"/>
    <x v="0"/>
    <x v="0"/>
    <x v="1"/>
    <x v="4"/>
    <n v="22.17"/>
    <x v="2"/>
    <n v="8.8680000000000003"/>
    <x v="175"/>
    <x v="2"/>
    <x v="154"/>
    <x v="2"/>
    <x v="175"/>
    <n v="4.7619047620000003"/>
    <n v="8.8680000000000003"/>
    <n v="9.6"/>
  </r>
  <r>
    <x v="177"/>
    <x v="1"/>
    <x v="1"/>
    <x v="1"/>
    <x v="0"/>
    <x v="5"/>
    <n v="22.51"/>
    <x v="0"/>
    <n v="7.8784999999999998"/>
    <x v="176"/>
    <x v="77"/>
    <x v="155"/>
    <x v="2"/>
    <x v="176"/>
    <n v="4.7619047620000003"/>
    <n v="7.8784999999999998"/>
    <n v="4.8"/>
  </r>
  <r>
    <x v="178"/>
    <x v="0"/>
    <x v="0"/>
    <x v="1"/>
    <x v="1"/>
    <x v="4"/>
    <n v="73.88"/>
    <x v="3"/>
    <n v="22.164000000000001"/>
    <x v="177"/>
    <x v="28"/>
    <x v="156"/>
    <x v="0"/>
    <x v="177"/>
    <n v="4.7619047620000003"/>
    <n v="22.164000000000001"/>
    <n v="4.4000000000000004"/>
  </r>
  <r>
    <x v="179"/>
    <x v="1"/>
    <x v="1"/>
    <x v="0"/>
    <x v="1"/>
    <x v="0"/>
    <n v="86.8"/>
    <x v="6"/>
    <n v="13.02"/>
    <x v="178"/>
    <x v="26"/>
    <x v="157"/>
    <x v="0"/>
    <x v="178"/>
    <n v="4.7619047620000003"/>
    <n v="13.02"/>
    <n v="9.9"/>
  </r>
  <r>
    <x v="180"/>
    <x v="1"/>
    <x v="1"/>
    <x v="1"/>
    <x v="1"/>
    <x v="5"/>
    <n v="64.260000000000005"/>
    <x v="0"/>
    <n v="22.491"/>
    <x v="179"/>
    <x v="57"/>
    <x v="158"/>
    <x v="1"/>
    <x v="179"/>
    <n v="4.7619047620000003"/>
    <n v="22.491"/>
    <n v="5.7"/>
  </r>
  <r>
    <x v="181"/>
    <x v="1"/>
    <x v="1"/>
    <x v="0"/>
    <x v="1"/>
    <x v="4"/>
    <n v="38.47"/>
    <x v="2"/>
    <n v="15.388"/>
    <x v="180"/>
    <x v="54"/>
    <x v="159"/>
    <x v="1"/>
    <x v="180"/>
    <n v="4.7619047620000003"/>
    <n v="15.388"/>
    <n v="7.7"/>
  </r>
  <r>
    <x v="182"/>
    <x v="0"/>
    <x v="0"/>
    <x v="0"/>
    <x v="1"/>
    <x v="3"/>
    <n v="15.5"/>
    <x v="4"/>
    <n v="7.75"/>
    <x v="181"/>
    <x v="28"/>
    <x v="60"/>
    <x v="0"/>
    <x v="181"/>
    <n v="4.7619047620000003"/>
    <n v="7.75"/>
    <n v="8"/>
  </r>
  <r>
    <x v="183"/>
    <x v="1"/>
    <x v="1"/>
    <x v="1"/>
    <x v="1"/>
    <x v="0"/>
    <n v="34.31"/>
    <x v="2"/>
    <n v="13.724"/>
    <x v="182"/>
    <x v="25"/>
    <x v="160"/>
    <x v="0"/>
    <x v="182"/>
    <n v="4.7619047620000003"/>
    <n v="13.724"/>
    <n v="5.7"/>
  </r>
  <r>
    <x v="184"/>
    <x v="0"/>
    <x v="0"/>
    <x v="1"/>
    <x v="0"/>
    <x v="3"/>
    <n v="12.34"/>
    <x v="0"/>
    <n v="4.319"/>
    <x v="183"/>
    <x v="31"/>
    <x v="161"/>
    <x v="2"/>
    <x v="183"/>
    <n v="4.7619047620000003"/>
    <n v="4.319"/>
    <n v="6.7"/>
  </r>
  <r>
    <x v="185"/>
    <x v="2"/>
    <x v="2"/>
    <x v="0"/>
    <x v="1"/>
    <x v="4"/>
    <n v="18.079999999999998"/>
    <x v="6"/>
    <n v="2.7120000000000002"/>
    <x v="184"/>
    <x v="19"/>
    <x v="162"/>
    <x v="0"/>
    <x v="184"/>
    <n v="4.7619047620000003"/>
    <n v="2.7120000000000002"/>
    <n v="8"/>
  </r>
  <r>
    <x v="186"/>
    <x v="2"/>
    <x v="2"/>
    <x v="0"/>
    <x v="0"/>
    <x v="2"/>
    <n v="94.49"/>
    <x v="2"/>
    <n v="37.795999999999999"/>
    <x v="185"/>
    <x v="2"/>
    <x v="163"/>
    <x v="0"/>
    <x v="185"/>
    <n v="4.7619047620000003"/>
    <n v="37.795999999999999"/>
    <n v="7.5"/>
  </r>
  <r>
    <x v="187"/>
    <x v="2"/>
    <x v="2"/>
    <x v="0"/>
    <x v="1"/>
    <x v="2"/>
    <n v="46.47"/>
    <x v="7"/>
    <n v="9.2940000000000005"/>
    <x v="186"/>
    <x v="4"/>
    <x v="164"/>
    <x v="1"/>
    <x v="186"/>
    <n v="4.7619047620000003"/>
    <n v="9.2940000000000005"/>
    <n v="7"/>
  </r>
  <r>
    <x v="188"/>
    <x v="0"/>
    <x v="0"/>
    <x v="1"/>
    <x v="1"/>
    <x v="2"/>
    <n v="74.069999999999993"/>
    <x v="8"/>
    <n v="3.7035"/>
    <x v="187"/>
    <x v="34"/>
    <x v="165"/>
    <x v="0"/>
    <x v="187"/>
    <n v="4.7619047620000003"/>
    <n v="3.7035"/>
    <n v="9.9"/>
  </r>
  <r>
    <x v="189"/>
    <x v="1"/>
    <x v="1"/>
    <x v="1"/>
    <x v="0"/>
    <x v="2"/>
    <n v="69.81"/>
    <x v="7"/>
    <n v="13.962"/>
    <x v="188"/>
    <x v="26"/>
    <x v="166"/>
    <x v="2"/>
    <x v="188"/>
    <n v="4.7619047620000003"/>
    <n v="13.962"/>
    <n v="5.9"/>
  </r>
  <r>
    <x v="190"/>
    <x v="2"/>
    <x v="2"/>
    <x v="1"/>
    <x v="0"/>
    <x v="2"/>
    <n v="77.040000000000006"/>
    <x v="6"/>
    <n v="11.555999999999999"/>
    <x v="189"/>
    <x v="48"/>
    <x v="17"/>
    <x v="2"/>
    <x v="189"/>
    <n v="4.7619047620000003"/>
    <n v="11.555999999999999"/>
    <n v="7.2"/>
  </r>
  <r>
    <x v="191"/>
    <x v="2"/>
    <x v="2"/>
    <x v="1"/>
    <x v="0"/>
    <x v="5"/>
    <n v="73.52"/>
    <x v="5"/>
    <n v="7.3520000000000003"/>
    <x v="190"/>
    <x v="15"/>
    <x v="167"/>
    <x v="0"/>
    <x v="190"/>
    <n v="4.7619047620000003"/>
    <n v="7.3520000000000003"/>
    <n v="4.5999999999999996"/>
  </r>
  <r>
    <x v="192"/>
    <x v="1"/>
    <x v="1"/>
    <x v="1"/>
    <x v="0"/>
    <x v="4"/>
    <n v="87.8"/>
    <x v="9"/>
    <n v="39.51"/>
    <x v="191"/>
    <x v="32"/>
    <x v="168"/>
    <x v="1"/>
    <x v="191"/>
    <n v="4.7619047620000003"/>
    <n v="39.51"/>
    <n v="9.1999999999999993"/>
  </r>
  <r>
    <x v="193"/>
    <x v="2"/>
    <x v="2"/>
    <x v="1"/>
    <x v="1"/>
    <x v="2"/>
    <n v="25.55"/>
    <x v="7"/>
    <n v="5.1100000000000003"/>
    <x v="192"/>
    <x v="53"/>
    <x v="169"/>
    <x v="0"/>
    <x v="192"/>
    <n v="4.7619047620000003"/>
    <n v="5.1100000000000003"/>
    <n v="5.7"/>
  </r>
  <r>
    <x v="194"/>
    <x v="0"/>
    <x v="0"/>
    <x v="1"/>
    <x v="1"/>
    <x v="1"/>
    <n v="32.71"/>
    <x v="1"/>
    <n v="8.1775000000000002"/>
    <x v="193"/>
    <x v="35"/>
    <x v="170"/>
    <x v="2"/>
    <x v="193"/>
    <n v="4.7619047620000003"/>
    <n v="8.1775000000000002"/>
    <n v="9.9"/>
  </r>
  <r>
    <x v="195"/>
    <x v="1"/>
    <x v="1"/>
    <x v="0"/>
    <x v="0"/>
    <x v="5"/>
    <n v="74.290000000000006"/>
    <x v="8"/>
    <n v="3.7145000000000001"/>
    <x v="194"/>
    <x v="50"/>
    <x v="171"/>
    <x v="1"/>
    <x v="194"/>
    <n v="4.7619047620000003"/>
    <n v="3.7145000000000001"/>
    <n v="5"/>
  </r>
  <r>
    <x v="196"/>
    <x v="1"/>
    <x v="1"/>
    <x v="0"/>
    <x v="1"/>
    <x v="0"/>
    <n v="43.7"/>
    <x v="5"/>
    <n v="4.37"/>
    <x v="195"/>
    <x v="58"/>
    <x v="172"/>
    <x v="1"/>
    <x v="195"/>
    <n v="4.7619047620000003"/>
    <n v="4.37"/>
    <n v="4.9000000000000004"/>
  </r>
  <r>
    <x v="197"/>
    <x v="0"/>
    <x v="0"/>
    <x v="1"/>
    <x v="0"/>
    <x v="2"/>
    <n v="25.29"/>
    <x v="8"/>
    <n v="1.2645"/>
    <x v="196"/>
    <x v="28"/>
    <x v="173"/>
    <x v="0"/>
    <x v="196"/>
    <n v="4.7619047620000003"/>
    <n v="1.2645"/>
    <n v="6.1"/>
  </r>
  <r>
    <x v="198"/>
    <x v="1"/>
    <x v="1"/>
    <x v="1"/>
    <x v="1"/>
    <x v="0"/>
    <n v="41.5"/>
    <x v="7"/>
    <n v="8.3000000000000007"/>
    <x v="197"/>
    <x v="41"/>
    <x v="174"/>
    <x v="2"/>
    <x v="197"/>
    <n v="4.7619047620000003"/>
    <n v="8.3000000000000007"/>
    <n v="8.1999999999999993"/>
  </r>
  <r>
    <x v="199"/>
    <x v="1"/>
    <x v="1"/>
    <x v="0"/>
    <x v="0"/>
    <x v="4"/>
    <n v="71.39"/>
    <x v="1"/>
    <n v="17.8475"/>
    <x v="198"/>
    <x v="21"/>
    <x v="129"/>
    <x v="2"/>
    <x v="198"/>
    <n v="4.7619047620000003"/>
    <n v="17.8475"/>
    <n v="5.5"/>
  </r>
  <r>
    <x v="200"/>
    <x v="1"/>
    <x v="1"/>
    <x v="0"/>
    <x v="0"/>
    <x v="3"/>
    <n v="19.149999999999999"/>
    <x v="3"/>
    <n v="5.7450000000000001"/>
    <x v="199"/>
    <x v="71"/>
    <x v="175"/>
    <x v="2"/>
    <x v="199"/>
    <n v="4.7619047620000003"/>
    <n v="5.7450000000000001"/>
    <n v="6.8"/>
  </r>
  <r>
    <x v="201"/>
    <x v="2"/>
    <x v="2"/>
    <x v="0"/>
    <x v="0"/>
    <x v="1"/>
    <n v="57.49"/>
    <x v="7"/>
    <n v="11.497999999999999"/>
    <x v="200"/>
    <x v="20"/>
    <x v="176"/>
    <x v="1"/>
    <x v="200"/>
    <n v="4.7619047620000003"/>
    <n v="11.497999999999999"/>
    <n v="6.6"/>
  </r>
  <r>
    <x v="202"/>
    <x v="1"/>
    <x v="1"/>
    <x v="1"/>
    <x v="1"/>
    <x v="1"/>
    <n v="61.41"/>
    <x v="0"/>
    <n v="21.493500000000001"/>
    <x v="201"/>
    <x v="78"/>
    <x v="177"/>
    <x v="1"/>
    <x v="201"/>
    <n v="4.7619047620000003"/>
    <n v="21.493500000000001"/>
    <n v="9.8000000000000007"/>
  </r>
  <r>
    <x v="203"/>
    <x v="2"/>
    <x v="2"/>
    <x v="0"/>
    <x v="1"/>
    <x v="0"/>
    <n v="25.9"/>
    <x v="4"/>
    <n v="12.95"/>
    <x v="202"/>
    <x v="10"/>
    <x v="178"/>
    <x v="0"/>
    <x v="202"/>
    <n v="4.7619047620000003"/>
    <n v="12.95"/>
    <n v="8.6999999999999993"/>
  </r>
  <r>
    <x v="204"/>
    <x v="2"/>
    <x v="2"/>
    <x v="0"/>
    <x v="1"/>
    <x v="2"/>
    <n v="17.77"/>
    <x v="1"/>
    <n v="4.4424999999999999"/>
    <x v="203"/>
    <x v="42"/>
    <x v="179"/>
    <x v="2"/>
    <x v="203"/>
    <n v="4.7619047620000003"/>
    <n v="4.4424999999999999"/>
    <n v="5.4"/>
  </r>
  <r>
    <x v="205"/>
    <x v="0"/>
    <x v="0"/>
    <x v="1"/>
    <x v="0"/>
    <x v="0"/>
    <n v="23.03"/>
    <x v="9"/>
    <n v="10.3635"/>
    <x v="204"/>
    <x v="75"/>
    <x v="110"/>
    <x v="0"/>
    <x v="204"/>
    <n v="4.7619047620000003"/>
    <n v="10.3635"/>
    <n v="7.9"/>
  </r>
  <r>
    <x v="206"/>
    <x v="1"/>
    <x v="1"/>
    <x v="0"/>
    <x v="0"/>
    <x v="1"/>
    <n v="66.650000000000006"/>
    <x v="9"/>
    <n v="29.9925"/>
    <x v="205"/>
    <x v="72"/>
    <x v="96"/>
    <x v="2"/>
    <x v="205"/>
    <n v="4.7619047620000003"/>
    <n v="29.9925"/>
    <n v="9.6999999999999993"/>
  </r>
  <r>
    <x v="207"/>
    <x v="1"/>
    <x v="1"/>
    <x v="0"/>
    <x v="0"/>
    <x v="2"/>
    <n v="28.53"/>
    <x v="4"/>
    <n v="14.265000000000001"/>
    <x v="206"/>
    <x v="79"/>
    <x v="180"/>
    <x v="0"/>
    <x v="206"/>
    <n v="4.7619047620000003"/>
    <n v="14.265000000000001"/>
    <n v="7.8"/>
  </r>
  <r>
    <x v="208"/>
    <x v="2"/>
    <x v="2"/>
    <x v="1"/>
    <x v="0"/>
    <x v="5"/>
    <n v="30.37"/>
    <x v="6"/>
    <n v="4.5555000000000003"/>
    <x v="207"/>
    <x v="61"/>
    <x v="167"/>
    <x v="0"/>
    <x v="207"/>
    <n v="4.7619047620000003"/>
    <n v="4.5555000000000003"/>
    <n v="5.0999999999999996"/>
  </r>
  <r>
    <x v="209"/>
    <x v="2"/>
    <x v="2"/>
    <x v="1"/>
    <x v="0"/>
    <x v="1"/>
    <n v="99.73"/>
    <x v="9"/>
    <n v="44.878500000000003"/>
    <x v="208"/>
    <x v="22"/>
    <x v="144"/>
    <x v="2"/>
    <x v="208"/>
    <n v="4.7619047620000003"/>
    <n v="44.878500000000003"/>
    <n v="6.5"/>
  </r>
  <r>
    <x v="210"/>
    <x v="0"/>
    <x v="0"/>
    <x v="1"/>
    <x v="1"/>
    <x v="1"/>
    <n v="26.23"/>
    <x v="9"/>
    <n v="11.8035"/>
    <x v="209"/>
    <x v="25"/>
    <x v="181"/>
    <x v="0"/>
    <x v="209"/>
    <n v="4.7619047620000003"/>
    <n v="11.8035"/>
    <n v="5.9"/>
  </r>
  <r>
    <x v="211"/>
    <x v="1"/>
    <x v="1"/>
    <x v="1"/>
    <x v="0"/>
    <x v="4"/>
    <n v="93.26"/>
    <x v="9"/>
    <n v="41.966999999999999"/>
    <x v="210"/>
    <x v="65"/>
    <x v="182"/>
    <x v="1"/>
    <x v="210"/>
    <n v="4.7619047620000003"/>
    <n v="41.966999999999999"/>
    <n v="8.8000000000000007"/>
  </r>
  <r>
    <x v="212"/>
    <x v="2"/>
    <x v="2"/>
    <x v="1"/>
    <x v="1"/>
    <x v="2"/>
    <n v="92.36"/>
    <x v="1"/>
    <n v="23.09"/>
    <x v="211"/>
    <x v="80"/>
    <x v="151"/>
    <x v="0"/>
    <x v="211"/>
    <n v="4.7619047620000003"/>
    <n v="23.09"/>
    <n v="4.9000000000000004"/>
  </r>
  <r>
    <x v="213"/>
    <x v="2"/>
    <x v="2"/>
    <x v="1"/>
    <x v="1"/>
    <x v="3"/>
    <n v="46.42"/>
    <x v="6"/>
    <n v="6.9630000000000001"/>
    <x v="212"/>
    <x v="72"/>
    <x v="38"/>
    <x v="2"/>
    <x v="212"/>
    <n v="4.7619047620000003"/>
    <n v="6.9630000000000001"/>
    <n v="4.4000000000000004"/>
  </r>
  <r>
    <x v="214"/>
    <x v="2"/>
    <x v="2"/>
    <x v="0"/>
    <x v="0"/>
    <x v="3"/>
    <n v="29.61"/>
    <x v="0"/>
    <n v="10.3635"/>
    <x v="204"/>
    <x v="16"/>
    <x v="183"/>
    <x v="1"/>
    <x v="204"/>
    <n v="4.7619047620000003"/>
    <n v="10.3635"/>
    <n v="6.5"/>
  </r>
  <r>
    <x v="215"/>
    <x v="0"/>
    <x v="0"/>
    <x v="1"/>
    <x v="1"/>
    <x v="2"/>
    <n v="18.28"/>
    <x v="8"/>
    <n v="0.91400000000000003"/>
    <x v="213"/>
    <x v="23"/>
    <x v="184"/>
    <x v="2"/>
    <x v="213"/>
    <n v="4.7619047620000003"/>
    <n v="0.91400000000000003"/>
    <n v="8.3000000000000007"/>
  </r>
  <r>
    <x v="216"/>
    <x v="2"/>
    <x v="2"/>
    <x v="1"/>
    <x v="0"/>
    <x v="3"/>
    <n v="24.77"/>
    <x v="1"/>
    <n v="6.1924999999999999"/>
    <x v="214"/>
    <x v="62"/>
    <x v="185"/>
    <x v="1"/>
    <x v="214"/>
    <n v="4.7619047620000003"/>
    <n v="6.1924999999999999"/>
    <n v="8.5"/>
  </r>
  <r>
    <x v="217"/>
    <x v="0"/>
    <x v="0"/>
    <x v="0"/>
    <x v="0"/>
    <x v="1"/>
    <n v="94.64"/>
    <x v="6"/>
    <n v="14.196"/>
    <x v="215"/>
    <x v="81"/>
    <x v="186"/>
    <x v="1"/>
    <x v="215"/>
    <n v="4.7619047620000003"/>
    <n v="14.196"/>
    <n v="5.5"/>
  </r>
  <r>
    <x v="218"/>
    <x v="2"/>
    <x v="2"/>
    <x v="1"/>
    <x v="1"/>
    <x v="5"/>
    <n v="94.87"/>
    <x v="2"/>
    <n v="37.948"/>
    <x v="216"/>
    <x v="12"/>
    <x v="187"/>
    <x v="0"/>
    <x v="216"/>
    <n v="4.7619047620000003"/>
    <n v="37.948"/>
    <n v="8.6999999999999993"/>
  </r>
  <r>
    <x v="219"/>
    <x v="2"/>
    <x v="2"/>
    <x v="1"/>
    <x v="0"/>
    <x v="4"/>
    <n v="57.34"/>
    <x v="6"/>
    <n v="8.6010000000000009"/>
    <x v="217"/>
    <x v="24"/>
    <x v="188"/>
    <x v="2"/>
    <x v="217"/>
    <n v="4.7619047620000003"/>
    <n v="8.6010000000000009"/>
    <n v="7.9"/>
  </r>
  <r>
    <x v="220"/>
    <x v="2"/>
    <x v="2"/>
    <x v="1"/>
    <x v="1"/>
    <x v="1"/>
    <n v="45.35"/>
    <x v="3"/>
    <n v="13.605"/>
    <x v="218"/>
    <x v="82"/>
    <x v="189"/>
    <x v="0"/>
    <x v="218"/>
    <n v="4.7619047620000003"/>
    <n v="13.605"/>
    <n v="6.1"/>
  </r>
  <r>
    <x v="221"/>
    <x v="2"/>
    <x v="2"/>
    <x v="1"/>
    <x v="1"/>
    <x v="4"/>
    <n v="62.08"/>
    <x v="0"/>
    <n v="21.728000000000002"/>
    <x v="219"/>
    <x v="43"/>
    <x v="190"/>
    <x v="0"/>
    <x v="219"/>
    <n v="4.7619047620000003"/>
    <n v="21.728000000000002"/>
    <n v="5.4"/>
  </r>
  <r>
    <x v="222"/>
    <x v="1"/>
    <x v="1"/>
    <x v="1"/>
    <x v="1"/>
    <x v="1"/>
    <n v="11.81"/>
    <x v="1"/>
    <n v="2.9525000000000001"/>
    <x v="220"/>
    <x v="21"/>
    <x v="191"/>
    <x v="1"/>
    <x v="220"/>
    <n v="4.7619047620000003"/>
    <n v="2.9525000000000001"/>
    <n v="9.4"/>
  </r>
  <r>
    <x v="223"/>
    <x v="1"/>
    <x v="1"/>
    <x v="0"/>
    <x v="0"/>
    <x v="5"/>
    <n v="12.54"/>
    <x v="8"/>
    <n v="0.627"/>
    <x v="221"/>
    <x v="81"/>
    <x v="192"/>
    <x v="1"/>
    <x v="221"/>
    <n v="4.7619047620000003"/>
    <n v="0.627"/>
    <n v="8.1999999999999993"/>
  </r>
  <r>
    <x v="224"/>
    <x v="0"/>
    <x v="0"/>
    <x v="1"/>
    <x v="1"/>
    <x v="4"/>
    <n v="43.25"/>
    <x v="5"/>
    <n v="4.3250000000000002"/>
    <x v="222"/>
    <x v="80"/>
    <x v="193"/>
    <x v="1"/>
    <x v="222"/>
    <n v="4.7619047620000003"/>
    <n v="4.3250000000000002"/>
    <n v="6.2"/>
  </r>
  <r>
    <x v="225"/>
    <x v="1"/>
    <x v="1"/>
    <x v="0"/>
    <x v="0"/>
    <x v="3"/>
    <n v="87.16"/>
    <x v="5"/>
    <n v="8.7159999999999993"/>
    <x v="223"/>
    <x v="83"/>
    <x v="194"/>
    <x v="2"/>
    <x v="223"/>
    <n v="4.7619047620000003"/>
    <n v="8.7159999999999993"/>
    <n v="9.6999999999999993"/>
  </r>
  <r>
    <x v="226"/>
    <x v="2"/>
    <x v="2"/>
    <x v="0"/>
    <x v="1"/>
    <x v="0"/>
    <n v="69.37"/>
    <x v="9"/>
    <n v="31.2165"/>
    <x v="224"/>
    <x v="53"/>
    <x v="195"/>
    <x v="0"/>
    <x v="224"/>
    <n v="4.7619047620000003"/>
    <n v="31.2165"/>
    <n v="4"/>
  </r>
  <r>
    <x v="227"/>
    <x v="1"/>
    <x v="1"/>
    <x v="0"/>
    <x v="1"/>
    <x v="1"/>
    <n v="37.06"/>
    <x v="7"/>
    <n v="7.4119999999999999"/>
    <x v="225"/>
    <x v="82"/>
    <x v="75"/>
    <x v="0"/>
    <x v="225"/>
    <n v="4.7619047620000003"/>
    <n v="7.4119999999999999"/>
    <n v="9.6999999999999993"/>
  </r>
  <r>
    <x v="228"/>
    <x v="2"/>
    <x v="2"/>
    <x v="0"/>
    <x v="0"/>
    <x v="1"/>
    <n v="90.7"/>
    <x v="3"/>
    <n v="27.21"/>
    <x v="226"/>
    <x v="84"/>
    <x v="196"/>
    <x v="1"/>
    <x v="226"/>
    <n v="4.7619047620000003"/>
    <n v="27.21"/>
    <n v="5.3"/>
  </r>
  <r>
    <x v="229"/>
    <x v="0"/>
    <x v="0"/>
    <x v="1"/>
    <x v="0"/>
    <x v="2"/>
    <n v="63.42"/>
    <x v="2"/>
    <n v="25.367999999999999"/>
    <x v="227"/>
    <x v="16"/>
    <x v="197"/>
    <x v="0"/>
    <x v="227"/>
    <n v="4.7619047620000003"/>
    <n v="25.367999999999999"/>
    <n v="7.4"/>
  </r>
  <r>
    <x v="230"/>
    <x v="2"/>
    <x v="2"/>
    <x v="1"/>
    <x v="0"/>
    <x v="5"/>
    <n v="81.37"/>
    <x v="5"/>
    <n v="8.1370000000000005"/>
    <x v="228"/>
    <x v="53"/>
    <x v="198"/>
    <x v="1"/>
    <x v="228"/>
    <n v="4.7619047620000003"/>
    <n v="8.1370000000000005"/>
    <n v="6.5"/>
  </r>
  <r>
    <x v="231"/>
    <x v="2"/>
    <x v="2"/>
    <x v="0"/>
    <x v="0"/>
    <x v="1"/>
    <n v="10.59"/>
    <x v="6"/>
    <n v="1.5885"/>
    <x v="229"/>
    <x v="41"/>
    <x v="199"/>
    <x v="2"/>
    <x v="229"/>
    <n v="4.7619047620000003"/>
    <n v="1.5885"/>
    <n v="8.6999999999999993"/>
  </r>
  <r>
    <x v="232"/>
    <x v="2"/>
    <x v="2"/>
    <x v="1"/>
    <x v="0"/>
    <x v="0"/>
    <n v="84.09"/>
    <x v="9"/>
    <n v="37.840499999999999"/>
    <x v="230"/>
    <x v="48"/>
    <x v="200"/>
    <x v="1"/>
    <x v="230"/>
    <n v="4.7619047620000003"/>
    <n v="37.840499999999999"/>
    <n v="8"/>
  </r>
  <r>
    <x v="233"/>
    <x v="2"/>
    <x v="2"/>
    <x v="0"/>
    <x v="1"/>
    <x v="5"/>
    <n v="73.819999999999993"/>
    <x v="7"/>
    <n v="14.763999999999999"/>
    <x v="231"/>
    <x v="81"/>
    <x v="201"/>
    <x v="1"/>
    <x v="231"/>
    <n v="4.7619047620000003"/>
    <n v="14.763999999999999"/>
    <n v="6.7"/>
  </r>
  <r>
    <x v="234"/>
    <x v="0"/>
    <x v="0"/>
    <x v="0"/>
    <x v="1"/>
    <x v="0"/>
    <n v="51.94"/>
    <x v="4"/>
    <n v="25.97"/>
    <x v="232"/>
    <x v="11"/>
    <x v="202"/>
    <x v="0"/>
    <x v="232"/>
    <n v="4.7619047620000003"/>
    <n v="25.97"/>
    <n v="6.5"/>
  </r>
  <r>
    <x v="235"/>
    <x v="0"/>
    <x v="0"/>
    <x v="1"/>
    <x v="0"/>
    <x v="3"/>
    <n v="93.14"/>
    <x v="5"/>
    <n v="9.3140000000000001"/>
    <x v="233"/>
    <x v="40"/>
    <x v="203"/>
    <x v="0"/>
    <x v="233"/>
    <n v="4.7619047620000003"/>
    <n v="9.3140000000000001"/>
    <n v="4.0999999999999996"/>
  </r>
  <r>
    <x v="236"/>
    <x v="1"/>
    <x v="1"/>
    <x v="1"/>
    <x v="1"/>
    <x v="0"/>
    <n v="17.41"/>
    <x v="1"/>
    <n v="4.3525"/>
    <x v="234"/>
    <x v="26"/>
    <x v="204"/>
    <x v="2"/>
    <x v="234"/>
    <n v="4.7619047620000003"/>
    <n v="4.3525"/>
    <n v="4.9000000000000004"/>
  </r>
  <r>
    <x v="237"/>
    <x v="1"/>
    <x v="1"/>
    <x v="0"/>
    <x v="0"/>
    <x v="5"/>
    <n v="44.22"/>
    <x v="1"/>
    <n v="11.055"/>
    <x v="235"/>
    <x v="19"/>
    <x v="205"/>
    <x v="2"/>
    <x v="235"/>
    <n v="4.7619047620000003"/>
    <n v="11.055"/>
    <n v="8.6"/>
  </r>
  <r>
    <x v="238"/>
    <x v="2"/>
    <x v="2"/>
    <x v="0"/>
    <x v="0"/>
    <x v="1"/>
    <n v="13.22"/>
    <x v="1"/>
    <n v="3.3050000000000002"/>
    <x v="236"/>
    <x v="22"/>
    <x v="206"/>
    <x v="1"/>
    <x v="236"/>
    <n v="4.7619047620000003"/>
    <n v="3.3050000000000002"/>
    <n v="4.3"/>
  </r>
  <r>
    <x v="239"/>
    <x v="0"/>
    <x v="0"/>
    <x v="1"/>
    <x v="1"/>
    <x v="5"/>
    <n v="89.69"/>
    <x v="8"/>
    <n v="4.4844999999999997"/>
    <x v="237"/>
    <x v="83"/>
    <x v="207"/>
    <x v="0"/>
    <x v="237"/>
    <n v="4.7619047620000003"/>
    <n v="4.4844999999999997"/>
    <n v="4.9000000000000004"/>
  </r>
  <r>
    <x v="240"/>
    <x v="0"/>
    <x v="0"/>
    <x v="1"/>
    <x v="1"/>
    <x v="4"/>
    <n v="24.94"/>
    <x v="9"/>
    <n v="11.223000000000001"/>
    <x v="238"/>
    <x v="83"/>
    <x v="208"/>
    <x v="2"/>
    <x v="238"/>
    <n v="4.7619047620000003"/>
    <n v="11.223000000000001"/>
    <n v="5.6"/>
  </r>
  <r>
    <x v="241"/>
    <x v="0"/>
    <x v="0"/>
    <x v="1"/>
    <x v="1"/>
    <x v="0"/>
    <n v="59.77"/>
    <x v="5"/>
    <n v="5.9770000000000003"/>
    <x v="239"/>
    <x v="16"/>
    <x v="209"/>
    <x v="2"/>
    <x v="239"/>
    <n v="4.7619047620000003"/>
    <n v="5.9770000000000003"/>
    <n v="5.8"/>
  </r>
  <r>
    <x v="242"/>
    <x v="1"/>
    <x v="1"/>
    <x v="0"/>
    <x v="1"/>
    <x v="5"/>
    <n v="93.2"/>
    <x v="5"/>
    <n v="9.32"/>
    <x v="240"/>
    <x v="38"/>
    <x v="78"/>
    <x v="2"/>
    <x v="240"/>
    <n v="4.7619047620000003"/>
    <n v="9.32"/>
    <n v="6"/>
  </r>
  <r>
    <x v="243"/>
    <x v="0"/>
    <x v="0"/>
    <x v="0"/>
    <x v="1"/>
    <x v="2"/>
    <n v="62.65"/>
    <x v="7"/>
    <n v="12.53"/>
    <x v="241"/>
    <x v="0"/>
    <x v="210"/>
    <x v="1"/>
    <x v="241"/>
    <n v="4.7619047620000003"/>
    <n v="12.53"/>
    <n v="4.2"/>
  </r>
  <r>
    <x v="244"/>
    <x v="2"/>
    <x v="2"/>
    <x v="1"/>
    <x v="1"/>
    <x v="2"/>
    <n v="93.87"/>
    <x v="2"/>
    <n v="37.548000000000002"/>
    <x v="242"/>
    <x v="30"/>
    <x v="211"/>
    <x v="2"/>
    <x v="242"/>
    <n v="4.7619047620000003"/>
    <n v="37.548000000000002"/>
    <n v="8.3000000000000007"/>
  </r>
  <r>
    <x v="245"/>
    <x v="0"/>
    <x v="0"/>
    <x v="0"/>
    <x v="1"/>
    <x v="2"/>
    <n v="47.59"/>
    <x v="2"/>
    <n v="19.036000000000001"/>
    <x v="243"/>
    <x v="17"/>
    <x v="212"/>
    <x v="1"/>
    <x v="243"/>
    <n v="4.7619047620000003"/>
    <n v="19.036000000000001"/>
    <n v="5.7"/>
  </r>
  <r>
    <x v="246"/>
    <x v="2"/>
    <x v="2"/>
    <x v="0"/>
    <x v="0"/>
    <x v="1"/>
    <n v="81.400000000000006"/>
    <x v="6"/>
    <n v="12.21"/>
    <x v="244"/>
    <x v="57"/>
    <x v="213"/>
    <x v="1"/>
    <x v="244"/>
    <n v="4.7619047620000003"/>
    <n v="12.21"/>
    <n v="4.8"/>
  </r>
  <r>
    <x v="247"/>
    <x v="0"/>
    <x v="0"/>
    <x v="0"/>
    <x v="1"/>
    <x v="5"/>
    <n v="17.940000000000001"/>
    <x v="1"/>
    <n v="4.4850000000000003"/>
    <x v="245"/>
    <x v="54"/>
    <x v="214"/>
    <x v="0"/>
    <x v="245"/>
    <n v="4.7619047620000003"/>
    <n v="4.4850000000000003"/>
    <n v="6.8"/>
  </r>
  <r>
    <x v="248"/>
    <x v="0"/>
    <x v="0"/>
    <x v="0"/>
    <x v="1"/>
    <x v="1"/>
    <n v="77.72"/>
    <x v="7"/>
    <n v="15.544"/>
    <x v="246"/>
    <x v="27"/>
    <x v="215"/>
    <x v="2"/>
    <x v="246"/>
    <n v="4.7619047620000003"/>
    <n v="15.544"/>
    <n v="8.8000000000000007"/>
  </r>
  <r>
    <x v="249"/>
    <x v="2"/>
    <x v="2"/>
    <x v="1"/>
    <x v="1"/>
    <x v="4"/>
    <n v="73.06"/>
    <x v="0"/>
    <n v="25.571000000000002"/>
    <x v="247"/>
    <x v="78"/>
    <x v="216"/>
    <x v="2"/>
    <x v="247"/>
    <n v="4.7619047620000003"/>
    <n v="25.571000000000002"/>
    <n v="4.2"/>
  </r>
  <r>
    <x v="250"/>
    <x v="2"/>
    <x v="2"/>
    <x v="0"/>
    <x v="1"/>
    <x v="4"/>
    <n v="46.55"/>
    <x v="9"/>
    <n v="20.947500000000002"/>
    <x v="248"/>
    <x v="30"/>
    <x v="217"/>
    <x v="0"/>
    <x v="248"/>
    <n v="4.7619047620000003"/>
    <n v="20.947500000000002"/>
    <n v="6.4"/>
  </r>
  <r>
    <x v="251"/>
    <x v="1"/>
    <x v="1"/>
    <x v="0"/>
    <x v="1"/>
    <x v="5"/>
    <n v="35.19"/>
    <x v="4"/>
    <n v="17.594999999999999"/>
    <x v="249"/>
    <x v="85"/>
    <x v="216"/>
    <x v="2"/>
    <x v="249"/>
    <n v="4.7619047620000003"/>
    <n v="17.594999999999999"/>
    <n v="8.4"/>
  </r>
  <r>
    <x v="252"/>
    <x v="1"/>
    <x v="1"/>
    <x v="1"/>
    <x v="0"/>
    <x v="3"/>
    <n v="14.39"/>
    <x v="5"/>
    <n v="1.4390000000000001"/>
    <x v="250"/>
    <x v="22"/>
    <x v="143"/>
    <x v="2"/>
    <x v="250"/>
    <n v="4.7619047620000003"/>
    <n v="1.4390000000000001"/>
    <n v="7.2"/>
  </r>
  <r>
    <x v="253"/>
    <x v="0"/>
    <x v="0"/>
    <x v="1"/>
    <x v="1"/>
    <x v="2"/>
    <n v="23.75"/>
    <x v="7"/>
    <n v="4.75"/>
    <x v="251"/>
    <x v="32"/>
    <x v="218"/>
    <x v="1"/>
    <x v="251"/>
    <n v="4.7619047620000003"/>
    <n v="4.75"/>
    <n v="5.2"/>
  </r>
  <r>
    <x v="254"/>
    <x v="0"/>
    <x v="0"/>
    <x v="0"/>
    <x v="1"/>
    <x v="2"/>
    <n v="58.9"/>
    <x v="2"/>
    <n v="23.56"/>
    <x v="252"/>
    <x v="47"/>
    <x v="219"/>
    <x v="1"/>
    <x v="252"/>
    <n v="4.7619047620000003"/>
    <n v="23.56"/>
    <n v="8.9"/>
  </r>
  <r>
    <x v="255"/>
    <x v="2"/>
    <x v="2"/>
    <x v="0"/>
    <x v="1"/>
    <x v="5"/>
    <n v="32.619999999999997"/>
    <x v="7"/>
    <n v="6.524"/>
    <x v="253"/>
    <x v="71"/>
    <x v="146"/>
    <x v="1"/>
    <x v="253"/>
    <n v="4.7619047620000003"/>
    <n v="6.524"/>
    <n v="9"/>
  </r>
  <r>
    <x v="256"/>
    <x v="0"/>
    <x v="0"/>
    <x v="0"/>
    <x v="1"/>
    <x v="1"/>
    <n v="66.349999999999994"/>
    <x v="8"/>
    <n v="3.3174999999999999"/>
    <x v="254"/>
    <x v="82"/>
    <x v="220"/>
    <x v="2"/>
    <x v="254"/>
    <n v="4.7619047620000003"/>
    <n v="3.3174999999999999"/>
    <n v="9.6999999999999993"/>
  </r>
  <r>
    <x v="257"/>
    <x v="0"/>
    <x v="0"/>
    <x v="0"/>
    <x v="1"/>
    <x v="2"/>
    <n v="25.91"/>
    <x v="3"/>
    <n v="7.7729999999999997"/>
    <x v="255"/>
    <x v="63"/>
    <x v="91"/>
    <x v="0"/>
    <x v="255"/>
    <n v="4.7619047620000003"/>
    <n v="7.7729999999999997"/>
    <n v="8.6999999999999993"/>
  </r>
  <r>
    <x v="258"/>
    <x v="0"/>
    <x v="0"/>
    <x v="0"/>
    <x v="1"/>
    <x v="1"/>
    <n v="32.25"/>
    <x v="7"/>
    <n v="6.45"/>
    <x v="256"/>
    <x v="77"/>
    <x v="192"/>
    <x v="0"/>
    <x v="256"/>
    <n v="4.7619047620000003"/>
    <n v="6.45"/>
    <n v="6.5"/>
  </r>
  <r>
    <x v="259"/>
    <x v="1"/>
    <x v="1"/>
    <x v="0"/>
    <x v="1"/>
    <x v="1"/>
    <n v="65.94"/>
    <x v="7"/>
    <n v="13.188000000000001"/>
    <x v="257"/>
    <x v="13"/>
    <x v="137"/>
    <x v="2"/>
    <x v="257"/>
    <n v="4.7619047620000003"/>
    <n v="13.188000000000001"/>
    <n v="6.9"/>
  </r>
  <r>
    <x v="260"/>
    <x v="0"/>
    <x v="0"/>
    <x v="1"/>
    <x v="0"/>
    <x v="1"/>
    <n v="75.06"/>
    <x v="9"/>
    <n v="33.777000000000001"/>
    <x v="258"/>
    <x v="35"/>
    <x v="221"/>
    <x v="0"/>
    <x v="258"/>
    <n v="4.7619047620000003"/>
    <n v="33.777000000000001"/>
    <n v="6.2"/>
  </r>
  <r>
    <x v="261"/>
    <x v="1"/>
    <x v="1"/>
    <x v="1"/>
    <x v="0"/>
    <x v="5"/>
    <n v="16.45"/>
    <x v="7"/>
    <n v="3.29"/>
    <x v="259"/>
    <x v="37"/>
    <x v="222"/>
    <x v="0"/>
    <x v="259"/>
    <n v="4.7619047620000003"/>
    <n v="3.29"/>
    <n v="5.6"/>
  </r>
  <r>
    <x v="262"/>
    <x v="2"/>
    <x v="2"/>
    <x v="0"/>
    <x v="0"/>
    <x v="5"/>
    <n v="38.299999999999997"/>
    <x v="7"/>
    <n v="7.66"/>
    <x v="260"/>
    <x v="45"/>
    <x v="223"/>
    <x v="1"/>
    <x v="260"/>
    <n v="4.7619047620000003"/>
    <n v="7.66"/>
    <n v="5.7"/>
  </r>
  <r>
    <x v="263"/>
    <x v="0"/>
    <x v="0"/>
    <x v="0"/>
    <x v="0"/>
    <x v="3"/>
    <n v="22.24"/>
    <x v="4"/>
    <n v="11.12"/>
    <x v="261"/>
    <x v="57"/>
    <x v="224"/>
    <x v="1"/>
    <x v="261"/>
    <n v="4.7619047620000003"/>
    <n v="11.12"/>
    <n v="4.2"/>
  </r>
  <r>
    <x v="264"/>
    <x v="2"/>
    <x v="2"/>
    <x v="1"/>
    <x v="1"/>
    <x v="3"/>
    <n v="54.45"/>
    <x v="8"/>
    <n v="2.7225000000000001"/>
    <x v="262"/>
    <x v="84"/>
    <x v="225"/>
    <x v="0"/>
    <x v="262"/>
    <n v="4.7619047620000003"/>
    <n v="2.7225000000000001"/>
    <n v="7.9"/>
  </r>
  <r>
    <x v="265"/>
    <x v="0"/>
    <x v="0"/>
    <x v="0"/>
    <x v="0"/>
    <x v="3"/>
    <n v="98.4"/>
    <x v="0"/>
    <n v="34.44"/>
    <x v="263"/>
    <x v="41"/>
    <x v="31"/>
    <x v="2"/>
    <x v="263"/>
    <n v="4.7619047620000003"/>
    <n v="34.44"/>
    <n v="8.6999999999999993"/>
  </r>
  <r>
    <x v="266"/>
    <x v="1"/>
    <x v="1"/>
    <x v="1"/>
    <x v="1"/>
    <x v="2"/>
    <n v="35.47"/>
    <x v="7"/>
    <n v="7.0940000000000003"/>
    <x v="264"/>
    <x v="86"/>
    <x v="226"/>
    <x v="2"/>
    <x v="264"/>
    <n v="4.7619047620000003"/>
    <n v="7.0940000000000003"/>
    <n v="6.9"/>
  </r>
  <r>
    <x v="267"/>
    <x v="2"/>
    <x v="2"/>
    <x v="0"/>
    <x v="0"/>
    <x v="4"/>
    <n v="74.599999999999994"/>
    <x v="4"/>
    <n v="37.299999999999997"/>
    <x v="265"/>
    <x v="66"/>
    <x v="227"/>
    <x v="1"/>
    <x v="265"/>
    <n v="4.7619047620000003"/>
    <n v="37.299999999999997"/>
    <n v="9.5"/>
  </r>
  <r>
    <x v="268"/>
    <x v="0"/>
    <x v="0"/>
    <x v="0"/>
    <x v="1"/>
    <x v="2"/>
    <n v="70.739999999999995"/>
    <x v="7"/>
    <n v="14.148"/>
    <x v="266"/>
    <x v="0"/>
    <x v="228"/>
    <x v="2"/>
    <x v="266"/>
    <n v="4.7619047620000003"/>
    <n v="14.148"/>
    <n v="4.4000000000000004"/>
  </r>
  <r>
    <x v="269"/>
    <x v="0"/>
    <x v="0"/>
    <x v="0"/>
    <x v="0"/>
    <x v="2"/>
    <n v="35.54"/>
    <x v="4"/>
    <n v="17.77"/>
    <x v="267"/>
    <x v="72"/>
    <x v="229"/>
    <x v="0"/>
    <x v="267"/>
    <n v="4.7619047620000003"/>
    <n v="17.77"/>
    <n v="7"/>
  </r>
  <r>
    <x v="270"/>
    <x v="2"/>
    <x v="2"/>
    <x v="1"/>
    <x v="0"/>
    <x v="3"/>
    <n v="67.430000000000007"/>
    <x v="1"/>
    <n v="16.857500000000002"/>
    <x v="268"/>
    <x v="43"/>
    <x v="230"/>
    <x v="0"/>
    <x v="268"/>
    <n v="4.7619047620000003"/>
    <n v="16.857500000000002"/>
    <n v="6.3"/>
  </r>
  <r>
    <x v="271"/>
    <x v="1"/>
    <x v="1"/>
    <x v="0"/>
    <x v="0"/>
    <x v="0"/>
    <n v="21.12"/>
    <x v="5"/>
    <n v="2.1120000000000001"/>
    <x v="269"/>
    <x v="75"/>
    <x v="151"/>
    <x v="1"/>
    <x v="269"/>
    <n v="4.7619047620000003"/>
    <n v="2.1120000000000001"/>
    <n v="9.6999999999999993"/>
  </r>
  <r>
    <x v="272"/>
    <x v="0"/>
    <x v="0"/>
    <x v="0"/>
    <x v="0"/>
    <x v="2"/>
    <n v="21.54"/>
    <x v="9"/>
    <n v="9.6929999999999996"/>
    <x v="270"/>
    <x v="27"/>
    <x v="231"/>
    <x v="2"/>
    <x v="270"/>
    <n v="4.7619047620000003"/>
    <n v="9.6929999999999996"/>
    <n v="8.8000000000000007"/>
  </r>
  <r>
    <x v="273"/>
    <x v="0"/>
    <x v="0"/>
    <x v="1"/>
    <x v="0"/>
    <x v="2"/>
    <n v="12.03"/>
    <x v="5"/>
    <n v="1.2030000000000001"/>
    <x v="271"/>
    <x v="3"/>
    <x v="232"/>
    <x v="1"/>
    <x v="271"/>
    <n v="4.7619047620000003"/>
    <n v="1.2030000000000001"/>
    <n v="5.0999999999999996"/>
  </r>
  <r>
    <x v="274"/>
    <x v="2"/>
    <x v="2"/>
    <x v="1"/>
    <x v="0"/>
    <x v="0"/>
    <n v="99.71"/>
    <x v="3"/>
    <n v="29.913"/>
    <x v="272"/>
    <x v="84"/>
    <x v="233"/>
    <x v="0"/>
    <x v="272"/>
    <n v="4.7619047620000003"/>
    <n v="29.913"/>
    <n v="7.9"/>
  </r>
  <r>
    <x v="275"/>
    <x v="2"/>
    <x v="2"/>
    <x v="1"/>
    <x v="1"/>
    <x v="5"/>
    <n v="47.97"/>
    <x v="0"/>
    <n v="16.7895"/>
    <x v="273"/>
    <x v="27"/>
    <x v="234"/>
    <x v="1"/>
    <x v="273"/>
    <n v="4.7619047620000003"/>
    <n v="16.7895"/>
    <n v="6.2"/>
  </r>
  <r>
    <x v="276"/>
    <x v="1"/>
    <x v="1"/>
    <x v="0"/>
    <x v="0"/>
    <x v="2"/>
    <n v="21.82"/>
    <x v="4"/>
    <n v="10.91"/>
    <x v="274"/>
    <x v="27"/>
    <x v="24"/>
    <x v="1"/>
    <x v="274"/>
    <n v="4.7619047620000003"/>
    <n v="10.91"/>
    <n v="7.1"/>
  </r>
  <r>
    <x v="277"/>
    <x v="1"/>
    <x v="1"/>
    <x v="1"/>
    <x v="0"/>
    <x v="5"/>
    <n v="95.42"/>
    <x v="7"/>
    <n v="19.084"/>
    <x v="275"/>
    <x v="30"/>
    <x v="2"/>
    <x v="0"/>
    <x v="275"/>
    <n v="4.7619047620000003"/>
    <n v="19.084"/>
    <n v="6.4"/>
  </r>
  <r>
    <x v="278"/>
    <x v="1"/>
    <x v="1"/>
    <x v="0"/>
    <x v="1"/>
    <x v="5"/>
    <n v="70.989999999999995"/>
    <x v="4"/>
    <n v="35.494999999999997"/>
    <x v="276"/>
    <x v="80"/>
    <x v="235"/>
    <x v="1"/>
    <x v="276"/>
    <n v="4.7619047620000003"/>
    <n v="35.494999999999997"/>
    <n v="5.7"/>
  </r>
  <r>
    <x v="279"/>
    <x v="0"/>
    <x v="0"/>
    <x v="0"/>
    <x v="1"/>
    <x v="3"/>
    <n v="44.02"/>
    <x v="4"/>
    <n v="22.01"/>
    <x v="277"/>
    <x v="80"/>
    <x v="129"/>
    <x v="2"/>
    <x v="277"/>
    <n v="4.7619047620000003"/>
    <n v="22.01"/>
    <n v="9.6"/>
  </r>
  <r>
    <x v="280"/>
    <x v="0"/>
    <x v="0"/>
    <x v="1"/>
    <x v="0"/>
    <x v="2"/>
    <n v="69.959999999999994"/>
    <x v="2"/>
    <n v="27.984000000000002"/>
    <x v="278"/>
    <x v="42"/>
    <x v="154"/>
    <x v="2"/>
    <x v="278"/>
    <n v="4.7619047620000003"/>
    <n v="27.984000000000002"/>
    <n v="6.4"/>
  </r>
  <r>
    <x v="281"/>
    <x v="1"/>
    <x v="1"/>
    <x v="1"/>
    <x v="1"/>
    <x v="2"/>
    <n v="37"/>
    <x v="8"/>
    <n v="1.85"/>
    <x v="279"/>
    <x v="43"/>
    <x v="236"/>
    <x v="2"/>
    <x v="279"/>
    <n v="4.7619047620000003"/>
    <n v="1.85"/>
    <n v="7.9"/>
  </r>
  <r>
    <x v="282"/>
    <x v="0"/>
    <x v="0"/>
    <x v="1"/>
    <x v="0"/>
    <x v="3"/>
    <n v="15.34"/>
    <x v="8"/>
    <n v="0.76700000000000002"/>
    <x v="280"/>
    <x v="47"/>
    <x v="237"/>
    <x v="1"/>
    <x v="280"/>
    <n v="4.7619047620000003"/>
    <n v="0.76700000000000002"/>
    <n v="6.5"/>
  </r>
  <r>
    <x v="283"/>
    <x v="0"/>
    <x v="0"/>
    <x v="0"/>
    <x v="1"/>
    <x v="0"/>
    <n v="99.83"/>
    <x v="3"/>
    <n v="29.949000000000002"/>
    <x v="281"/>
    <x v="31"/>
    <x v="238"/>
    <x v="0"/>
    <x v="281"/>
    <n v="4.7619047620000003"/>
    <n v="29.949000000000002"/>
    <n v="8.5"/>
  </r>
  <r>
    <x v="284"/>
    <x v="0"/>
    <x v="0"/>
    <x v="0"/>
    <x v="0"/>
    <x v="0"/>
    <n v="47.67"/>
    <x v="7"/>
    <n v="9.5340000000000007"/>
    <x v="282"/>
    <x v="41"/>
    <x v="239"/>
    <x v="1"/>
    <x v="282"/>
    <n v="4.7619047620000003"/>
    <n v="9.5340000000000007"/>
    <n v="9.1"/>
  </r>
  <r>
    <x v="285"/>
    <x v="2"/>
    <x v="2"/>
    <x v="1"/>
    <x v="1"/>
    <x v="0"/>
    <n v="66.680000000000007"/>
    <x v="1"/>
    <n v="16.670000000000002"/>
    <x v="283"/>
    <x v="9"/>
    <x v="240"/>
    <x v="1"/>
    <x v="283"/>
    <n v="4.7619047620000003"/>
    <n v="16.670000000000002"/>
    <n v="7.6"/>
  </r>
  <r>
    <x v="286"/>
    <x v="1"/>
    <x v="1"/>
    <x v="0"/>
    <x v="1"/>
    <x v="2"/>
    <n v="74.86"/>
    <x v="8"/>
    <n v="3.7429999999999999"/>
    <x v="284"/>
    <x v="62"/>
    <x v="32"/>
    <x v="1"/>
    <x v="284"/>
    <n v="4.7619047620000003"/>
    <n v="3.7429999999999999"/>
    <n v="6.9"/>
  </r>
  <r>
    <x v="287"/>
    <x v="1"/>
    <x v="1"/>
    <x v="1"/>
    <x v="0"/>
    <x v="3"/>
    <n v="23.75"/>
    <x v="9"/>
    <n v="10.6875"/>
    <x v="285"/>
    <x v="82"/>
    <x v="110"/>
    <x v="1"/>
    <x v="285"/>
    <n v="4.7619047620000003"/>
    <n v="10.6875"/>
    <n v="9.5"/>
  </r>
  <r>
    <x v="288"/>
    <x v="2"/>
    <x v="2"/>
    <x v="1"/>
    <x v="0"/>
    <x v="4"/>
    <n v="48.51"/>
    <x v="0"/>
    <n v="16.9785"/>
    <x v="286"/>
    <x v="25"/>
    <x v="241"/>
    <x v="2"/>
    <x v="286"/>
    <n v="4.7619047620000003"/>
    <n v="16.9785"/>
    <n v="5.2"/>
  </r>
  <r>
    <x v="289"/>
    <x v="0"/>
    <x v="0"/>
    <x v="0"/>
    <x v="0"/>
    <x v="2"/>
    <n v="94.88"/>
    <x v="0"/>
    <n v="33.207999999999998"/>
    <x v="287"/>
    <x v="36"/>
    <x v="242"/>
    <x v="1"/>
    <x v="287"/>
    <n v="4.7619047620000003"/>
    <n v="33.207999999999998"/>
    <n v="4.2"/>
  </r>
  <r>
    <x v="290"/>
    <x v="2"/>
    <x v="2"/>
    <x v="0"/>
    <x v="1"/>
    <x v="1"/>
    <n v="40.299999999999997"/>
    <x v="4"/>
    <n v="20.149999999999999"/>
    <x v="288"/>
    <x v="46"/>
    <x v="243"/>
    <x v="2"/>
    <x v="288"/>
    <n v="4.7619047620000003"/>
    <n v="20.149999999999999"/>
    <n v="7"/>
  </r>
  <r>
    <x v="291"/>
    <x v="1"/>
    <x v="1"/>
    <x v="1"/>
    <x v="1"/>
    <x v="1"/>
    <n v="27.85"/>
    <x v="0"/>
    <n v="9.7475000000000005"/>
    <x v="289"/>
    <x v="86"/>
    <x v="244"/>
    <x v="0"/>
    <x v="289"/>
    <n v="4.7619047620000003"/>
    <n v="9.7475000000000005"/>
    <n v="6"/>
  </r>
  <r>
    <x v="292"/>
    <x v="0"/>
    <x v="0"/>
    <x v="0"/>
    <x v="0"/>
    <x v="1"/>
    <n v="62.48"/>
    <x v="8"/>
    <n v="3.1240000000000001"/>
    <x v="290"/>
    <x v="67"/>
    <x v="245"/>
    <x v="1"/>
    <x v="290"/>
    <n v="4.7619047620000003"/>
    <n v="3.1240000000000001"/>
    <n v="4.7"/>
  </r>
  <r>
    <x v="293"/>
    <x v="0"/>
    <x v="0"/>
    <x v="0"/>
    <x v="0"/>
    <x v="4"/>
    <n v="36.36"/>
    <x v="5"/>
    <n v="3.6360000000000001"/>
    <x v="291"/>
    <x v="18"/>
    <x v="158"/>
    <x v="1"/>
    <x v="291"/>
    <n v="4.7619047620000003"/>
    <n v="3.6360000000000001"/>
    <n v="7.1"/>
  </r>
  <r>
    <x v="294"/>
    <x v="2"/>
    <x v="2"/>
    <x v="1"/>
    <x v="1"/>
    <x v="0"/>
    <n v="18.11"/>
    <x v="4"/>
    <n v="9.0549999999999997"/>
    <x v="292"/>
    <x v="45"/>
    <x v="246"/>
    <x v="0"/>
    <x v="292"/>
    <n v="4.7619047620000003"/>
    <n v="9.0549999999999997"/>
    <n v="5.9"/>
  </r>
  <r>
    <x v="295"/>
    <x v="1"/>
    <x v="1"/>
    <x v="0"/>
    <x v="0"/>
    <x v="1"/>
    <n v="51.92"/>
    <x v="1"/>
    <n v="12.98"/>
    <x v="293"/>
    <x v="2"/>
    <x v="247"/>
    <x v="1"/>
    <x v="293"/>
    <n v="4.7619047620000003"/>
    <n v="12.98"/>
    <n v="7.5"/>
  </r>
  <r>
    <x v="296"/>
    <x v="1"/>
    <x v="1"/>
    <x v="1"/>
    <x v="1"/>
    <x v="1"/>
    <n v="28.84"/>
    <x v="7"/>
    <n v="5.7679999999999998"/>
    <x v="294"/>
    <x v="14"/>
    <x v="248"/>
    <x v="1"/>
    <x v="294"/>
    <n v="4.7619047620000003"/>
    <n v="5.7679999999999998"/>
    <n v="6.4"/>
  </r>
  <r>
    <x v="297"/>
    <x v="0"/>
    <x v="0"/>
    <x v="0"/>
    <x v="1"/>
    <x v="2"/>
    <n v="78.38"/>
    <x v="3"/>
    <n v="23.513999999999999"/>
    <x v="295"/>
    <x v="8"/>
    <x v="249"/>
    <x v="0"/>
    <x v="295"/>
    <n v="4.7619047620000003"/>
    <n v="23.513999999999999"/>
    <n v="5.8"/>
  </r>
  <r>
    <x v="298"/>
    <x v="0"/>
    <x v="0"/>
    <x v="0"/>
    <x v="1"/>
    <x v="2"/>
    <n v="60.01"/>
    <x v="7"/>
    <n v="12.002000000000001"/>
    <x v="296"/>
    <x v="25"/>
    <x v="250"/>
    <x v="1"/>
    <x v="296"/>
    <n v="4.7619047620000003"/>
    <n v="12.002000000000001"/>
    <n v="4.5"/>
  </r>
  <r>
    <x v="299"/>
    <x v="1"/>
    <x v="1"/>
    <x v="0"/>
    <x v="0"/>
    <x v="2"/>
    <n v="88.61"/>
    <x v="8"/>
    <n v="4.4305000000000003"/>
    <x v="297"/>
    <x v="64"/>
    <x v="251"/>
    <x v="1"/>
    <x v="297"/>
    <n v="4.7619047620000003"/>
    <n v="4.4305000000000003"/>
    <n v="7.7"/>
  </r>
  <r>
    <x v="300"/>
    <x v="1"/>
    <x v="1"/>
    <x v="1"/>
    <x v="1"/>
    <x v="5"/>
    <n v="99.82"/>
    <x v="5"/>
    <n v="9.9819999999999993"/>
    <x v="298"/>
    <x v="56"/>
    <x v="203"/>
    <x v="2"/>
    <x v="298"/>
    <n v="4.7619047620000003"/>
    <n v="9.9819999999999993"/>
    <n v="6.7"/>
  </r>
  <r>
    <x v="301"/>
    <x v="2"/>
    <x v="2"/>
    <x v="0"/>
    <x v="1"/>
    <x v="0"/>
    <n v="39.01"/>
    <x v="8"/>
    <n v="1.9504999999999999"/>
    <x v="299"/>
    <x v="41"/>
    <x v="252"/>
    <x v="2"/>
    <x v="299"/>
    <n v="4.7619047620000003"/>
    <n v="1.9504999999999999"/>
    <n v="4.7"/>
  </r>
  <r>
    <x v="302"/>
    <x v="1"/>
    <x v="1"/>
    <x v="1"/>
    <x v="1"/>
    <x v="4"/>
    <n v="48.61"/>
    <x v="8"/>
    <n v="2.4304999999999999"/>
    <x v="300"/>
    <x v="6"/>
    <x v="26"/>
    <x v="1"/>
    <x v="300"/>
    <n v="4.7619047620000003"/>
    <n v="2.4304999999999999"/>
    <n v="4.4000000000000004"/>
  </r>
  <r>
    <x v="303"/>
    <x v="0"/>
    <x v="0"/>
    <x v="1"/>
    <x v="0"/>
    <x v="1"/>
    <n v="51.19"/>
    <x v="7"/>
    <n v="10.238"/>
    <x v="301"/>
    <x v="79"/>
    <x v="8"/>
    <x v="2"/>
    <x v="301"/>
    <n v="4.7619047620000003"/>
    <n v="10.238"/>
    <n v="4.7"/>
  </r>
  <r>
    <x v="304"/>
    <x v="2"/>
    <x v="2"/>
    <x v="1"/>
    <x v="0"/>
    <x v="1"/>
    <n v="14.96"/>
    <x v="2"/>
    <n v="5.984"/>
    <x v="302"/>
    <x v="55"/>
    <x v="107"/>
    <x v="1"/>
    <x v="302"/>
    <n v="4.7619047620000003"/>
    <n v="5.984"/>
    <n v="8.6"/>
  </r>
  <r>
    <x v="305"/>
    <x v="0"/>
    <x v="0"/>
    <x v="0"/>
    <x v="1"/>
    <x v="1"/>
    <n v="72.2"/>
    <x v="0"/>
    <n v="25.27"/>
    <x v="303"/>
    <x v="58"/>
    <x v="253"/>
    <x v="0"/>
    <x v="303"/>
    <n v="4.7619047620000003"/>
    <n v="25.27"/>
    <n v="4.3"/>
  </r>
  <r>
    <x v="306"/>
    <x v="0"/>
    <x v="0"/>
    <x v="1"/>
    <x v="0"/>
    <x v="3"/>
    <n v="40.229999999999997"/>
    <x v="0"/>
    <n v="14.080500000000001"/>
    <x v="304"/>
    <x v="73"/>
    <x v="93"/>
    <x v="1"/>
    <x v="304"/>
    <n v="4.7619047620000003"/>
    <n v="14.080500000000001"/>
    <n v="9.6"/>
  </r>
  <r>
    <x v="307"/>
    <x v="0"/>
    <x v="0"/>
    <x v="0"/>
    <x v="0"/>
    <x v="2"/>
    <n v="88.79"/>
    <x v="2"/>
    <n v="35.515999999999998"/>
    <x v="305"/>
    <x v="21"/>
    <x v="254"/>
    <x v="1"/>
    <x v="305"/>
    <n v="4.7619047620000003"/>
    <n v="35.515999999999998"/>
    <n v="4.0999999999999996"/>
  </r>
  <r>
    <x v="308"/>
    <x v="0"/>
    <x v="0"/>
    <x v="0"/>
    <x v="0"/>
    <x v="1"/>
    <n v="26.48"/>
    <x v="6"/>
    <n v="3.972"/>
    <x v="306"/>
    <x v="76"/>
    <x v="21"/>
    <x v="0"/>
    <x v="306"/>
    <n v="4.7619047620000003"/>
    <n v="3.972"/>
    <n v="4.7"/>
  </r>
  <r>
    <x v="309"/>
    <x v="0"/>
    <x v="0"/>
    <x v="1"/>
    <x v="0"/>
    <x v="5"/>
    <n v="81.91"/>
    <x v="5"/>
    <n v="8.1910000000000007"/>
    <x v="307"/>
    <x v="19"/>
    <x v="255"/>
    <x v="1"/>
    <x v="307"/>
    <n v="4.7619047620000003"/>
    <n v="8.1910000000000007"/>
    <n v="7.8"/>
  </r>
  <r>
    <x v="310"/>
    <x v="2"/>
    <x v="2"/>
    <x v="0"/>
    <x v="1"/>
    <x v="3"/>
    <n v="79.930000000000007"/>
    <x v="3"/>
    <n v="23.978999999999999"/>
    <x v="308"/>
    <x v="82"/>
    <x v="214"/>
    <x v="1"/>
    <x v="308"/>
    <n v="4.7619047620000003"/>
    <n v="23.978999999999999"/>
    <n v="5.5"/>
  </r>
  <r>
    <x v="311"/>
    <x v="1"/>
    <x v="1"/>
    <x v="0"/>
    <x v="1"/>
    <x v="5"/>
    <n v="69.33"/>
    <x v="5"/>
    <n v="6.9329999999999998"/>
    <x v="309"/>
    <x v="63"/>
    <x v="256"/>
    <x v="0"/>
    <x v="309"/>
    <n v="4.7619047620000003"/>
    <n v="6.9329999999999998"/>
    <n v="9.6999999999999993"/>
  </r>
  <r>
    <x v="312"/>
    <x v="0"/>
    <x v="0"/>
    <x v="0"/>
    <x v="0"/>
    <x v="4"/>
    <n v="14.23"/>
    <x v="1"/>
    <n v="3.5575000000000001"/>
    <x v="310"/>
    <x v="60"/>
    <x v="257"/>
    <x v="2"/>
    <x v="310"/>
    <n v="4.7619047620000003"/>
    <n v="3.5575000000000001"/>
    <n v="4.4000000000000004"/>
  </r>
  <r>
    <x v="313"/>
    <x v="0"/>
    <x v="0"/>
    <x v="0"/>
    <x v="0"/>
    <x v="0"/>
    <n v="15.55"/>
    <x v="9"/>
    <n v="6.9974999999999996"/>
    <x v="311"/>
    <x v="37"/>
    <x v="258"/>
    <x v="1"/>
    <x v="311"/>
    <n v="4.7619047620000003"/>
    <n v="6.9974999999999996"/>
    <n v="5"/>
  </r>
  <r>
    <x v="314"/>
    <x v="1"/>
    <x v="1"/>
    <x v="0"/>
    <x v="0"/>
    <x v="1"/>
    <n v="78.13"/>
    <x v="4"/>
    <n v="39.064999999999998"/>
    <x v="312"/>
    <x v="34"/>
    <x v="259"/>
    <x v="1"/>
    <x v="312"/>
    <n v="4.7619047620000003"/>
    <n v="39.064999999999998"/>
    <n v="4.4000000000000004"/>
  </r>
  <r>
    <x v="315"/>
    <x v="1"/>
    <x v="1"/>
    <x v="0"/>
    <x v="1"/>
    <x v="4"/>
    <n v="99.37"/>
    <x v="5"/>
    <n v="9.9369999999999994"/>
    <x v="313"/>
    <x v="44"/>
    <x v="260"/>
    <x v="1"/>
    <x v="313"/>
    <n v="4.7619047620000003"/>
    <n v="9.9369999999999994"/>
    <n v="5.2"/>
  </r>
  <r>
    <x v="316"/>
    <x v="1"/>
    <x v="1"/>
    <x v="0"/>
    <x v="0"/>
    <x v="4"/>
    <n v="21.08"/>
    <x v="6"/>
    <n v="3.1619999999999999"/>
    <x v="314"/>
    <x v="57"/>
    <x v="12"/>
    <x v="1"/>
    <x v="314"/>
    <n v="4.7619047620000003"/>
    <n v="3.1619999999999999"/>
    <n v="7.3"/>
  </r>
  <r>
    <x v="317"/>
    <x v="1"/>
    <x v="1"/>
    <x v="0"/>
    <x v="1"/>
    <x v="1"/>
    <n v="74.790000000000006"/>
    <x v="1"/>
    <n v="18.697500000000002"/>
    <x v="315"/>
    <x v="8"/>
    <x v="261"/>
    <x v="1"/>
    <x v="315"/>
    <n v="4.7619047620000003"/>
    <n v="18.697500000000002"/>
    <n v="4.9000000000000004"/>
  </r>
  <r>
    <x v="318"/>
    <x v="1"/>
    <x v="1"/>
    <x v="0"/>
    <x v="0"/>
    <x v="0"/>
    <n v="29.67"/>
    <x v="0"/>
    <n v="10.384499999999999"/>
    <x v="316"/>
    <x v="16"/>
    <x v="262"/>
    <x v="2"/>
    <x v="316"/>
    <n v="4.7619047620000003"/>
    <n v="10.384499999999999"/>
    <n v="8.1"/>
  </r>
  <r>
    <x v="319"/>
    <x v="1"/>
    <x v="1"/>
    <x v="0"/>
    <x v="1"/>
    <x v="0"/>
    <n v="44.07"/>
    <x v="7"/>
    <n v="8.8140000000000001"/>
    <x v="317"/>
    <x v="67"/>
    <x v="235"/>
    <x v="0"/>
    <x v="317"/>
    <n v="4.7619047620000003"/>
    <n v="8.8140000000000001"/>
    <n v="8.4"/>
  </r>
  <r>
    <x v="320"/>
    <x v="1"/>
    <x v="1"/>
    <x v="1"/>
    <x v="0"/>
    <x v="4"/>
    <n v="22.93"/>
    <x v="9"/>
    <n v="10.3185"/>
    <x v="318"/>
    <x v="84"/>
    <x v="263"/>
    <x v="1"/>
    <x v="318"/>
    <n v="4.7619047620000003"/>
    <n v="10.3185"/>
    <n v="5.5"/>
  </r>
  <r>
    <x v="321"/>
    <x v="1"/>
    <x v="1"/>
    <x v="1"/>
    <x v="0"/>
    <x v="0"/>
    <n v="39.42"/>
    <x v="8"/>
    <n v="1.9710000000000001"/>
    <x v="319"/>
    <x v="68"/>
    <x v="264"/>
    <x v="1"/>
    <x v="319"/>
    <n v="4.7619047620000003"/>
    <n v="1.9710000000000001"/>
    <n v="8.4"/>
  </r>
  <r>
    <x v="322"/>
    <x v="0"/>
    <x v="0"/>
    <x v="1"/>
    <x v="1"/>
    <x v="0"/>
    <n v="15.26"/>
    <x v="3"/>
    <n v="4.5780000000000003"/>
    <x v="320"/>
    <x v="42"/>
    <x v="172"/>
    <x v="0"/>
    <x v="320"/>
    <n v="4.7619047620000003"/>
    <n v="4.5780000000000003"/>
    <n v="9.8000000000000007"/>
  </r>
  <r>
    <x v="323"/>
    <x v="0"/>
    <x v="0"/>
    <x v="1"/>
    <x v="0"/>
    <x v="5"/>
    <n v="61.77"/>
    <x v="1"/>
    <n v="15.442500000000001"/>
    <x v="321"/>
    <x v="1"/>
    <x v="265"/>
    <x v="1"/>
    <x v="321"/>
    <n v="4.7619047620000003"/>
    <n v="15.442500000000001"/>
    <n v="6.7"/>
  </r>
  <r>
    <x v="324"/>
    <x v="0"/>
    <x v="0"/>
    <x v="1"/>
    <x v="1"/>
    <x v="2"/>
    <n v="21.52"/>
    <x v="3"/>
    <n v="6.4560000000000004"/>
    <x v="322"/>
    <x v="29"/>
    <x v="266"/>
    <x v="2"/>
    <x v="322"/>
    <n v="4.7619047620000003"/>
    <n v="6.4560000000000004"/>
    <n v="9.4"/>
  </r>
  <r>
    <x v="325"/>
    <x v="2"/>
    <x v="2"/>
    <x v="1"/>
    <x v="1"/>
    <x v="3"/>
    <n v="97.74"/>
    <x v="7"/>
    <n v="19.547999999999998"/>
    <x v="323"/>
    <x v="41"/>
    <x v="267"/>
    <x v="0"/>
    <x v="323"/>
    <n v="4.7619047620000003"/>
    <n v="19.547999999999998"/>
    <n v="6.4"/>
  </r>
  <r>
    <x v="326"/>
    <x v="0"/>
    <x v="0"/>
    <x v="0"/>
    <x v="1"/>
    <x v="4"/>
    <n v="99.78"/>
    <x v="1"/>
    <n v="24.945"/>
    <x v="324"/>
    <x v="11"/>
    <x v="268"/>
    <x v="1"/>
    <x v="324"/>
    <n v="4.7619047620000003"/>
    <n v="24.945"/>
    <n v="5.4"/>
  </r>
  <r>
    <x v="327"/>
    <x v="1"/>
    <x v="1"/>
    <x v="0"/>
    <x v="1"/>
    <x v="4"/>
    <n v="94.26"/>
    <x v="7"/>
    <n v="18.852"/>
    <x v="325"/>
    <x v="41"/>
    <x v="269"/>
    <x v="1"/>
    <x v="325"/>
    <n v="4.7619047620000003"/>
    <n v="18.852"/>
    <n v="8.6"/>
  </r>
  <r>
    <x v="328"/>
    <x v="2"/>
    <x v="2"/>
    <x v="0"/>
    <x v="1"/>
    <x v="0"/>
    <n v="51.13"/>
    <x v="7"/>
    <n v="10.226000000000001"/>
    <x v="326"/>
    <x v="25"/>
    <x v="41"/>
    <x v="2"/>
    <x v="326"/>
    <n v="4.7619047620000003"/>
    <n v="10.226000000000001"/>
    <n v="4"/>
  </r>
  <r>
    <x v="329"/>
    <x v="0"/>
    <x v="0"/>
    <x v="0"/>
    <x v="1"/>
    <x v="1"/>
    <n v="36.36"/>
    <x v="7"/>
    <n v="7.2720000000000002"/>
    <x v="327"/>
    <x v="5"/>
    <x v="270"/>
    <x v="1"/>
    <x v="327"/>
    <n v="4.7619047620000003"/>
    <n v="7.2720000000000002"/>
    <n v="7.6"/>
  </r>
  <r>
    <x v="330"/>
    <x v="2"/>
    <x v="2"/>
    <x v="1"/>
    <x v="1"/>
    <x v="2"/>
    <n v="22.02"/>
    <x v="9"/>
    <n v="9.9090000000000007"/>
    <x v="328"/>
    <x v="13"/>
    <x v="271"/>
    <x v="1"/>
    <x v="328"/>
    <n v="4.7619047620000003"/>
    <n v="9.9090000000000007"/>
    <n v="6.8"/>
  </r>
  <r>
    <x v="331"/>
    <x v="0"/>
    <x v="0"/>
    <x v="1"/>
    <x v="1"/>
    <x v="4"/>
    <n v="32.9"/>
    <x v="6"/>
    <n v="4.9349999999999996"/>
    <x v="329"/>
    <x v="21"/>
    <x v="272"/>
    <x v="2"/>
    <x v="329"/>
    <n v="4.7619047620000003"/>
    <n v="4.9349999999999996"/>
    <n v="9.1"/>
  </r>
  <r>
    <x v="332"/>
    <x v="0"/>
    <x v="0"/>
    <x v="1"/>
    <x v="1"/>
    <x v="5"/>
    <n v="77.02"/>
    <x v="1"/>
    <n v="19.254999999999999"/>
    <x v="330"/>
    <x v="36"/>
    <x v="273"/>
    <x v="1"/>
    <x v="330"/>
    <n v="4.7619047620000003"/>
    <n v="19.254999999999999"/>
    <n v="5.5"/>
  </r>
  <r>
    <x v="333"/>
    <x v="0"/>
    <x v="0"/>
    <x v="0"/>
    <x v="1"/>
    <x v="4"/>
    <n v="23.48"/>
    <x v="5"/>
    <n v="2.3479999999999999"/>
    <x v="331"/>
    <x v="86"/>
    <x v="274"/>
    <x v="2"/>
    <x v="331"/>
    <n v="4.7619047620000003"/>
    <n v="2.3479999999999999"/>
    <n v="7.9"/>
  </r>
  <r>
    <x v="334"/>
    <x v="1"/>
    <x v="1"/>
    <x v="0"/>
    <x v="1"/>
    <x v="3"/>
    <n v="14.7"/>
    <x v="1"/>
    <n v="3.6749999999999998"/>
    <x v="332"/>
    <x v="62"/>
    <x v="128"/>
    <x v="0"/>
    <x v="332"/>
    <n v="4.7619047620000003"/>
    <n v="3.6749999999999998"/>
    <n v="8.5"/>
  </r>
  <r>
    <x v="335"/>
    <x v="0"/>
    <x v="0"/>
    <x v="0"/>
    <x v="0"/>
    <x v="1"/>
    <n v="28.45"/>
    <x v="1"/>
    <n v="7.1124999999999998"/>
    <x v="333"/>
    <x v="76"/>
    <x v="79"/>
    <x v="2"/>
    <x v="333"/>
    <n v="4.7619047620000003"/>
    <n v="7.1124999999999998"/>
    <n v="9.1"/>
  </r>
  <r>
    <x v="336"/>
    <x v="0"/>
    <x v="0"/>
    <x v="1"/>
    <x v="1"/>
    <x v="5"/>
    <n v="76.400000000000006"/>
    <x v="9"/>
    <n v="34.380000000000003"/>
    <x v="334"/>
    <x v="35"/>
    <x v="275"/>
    <x v="0"/>
    <x v="334"/>
    <n v="4.7619047620000003"/>
    <n v="34.380000000000003"/>
    <n v="7.5"/>
  </r>
  <r>
    <x v="337"/>
    <x v="2"/>
    <x v="2"/>
    <x v="1"/>
    <x v="0"/>
    <x v="3"/>
    <n v="57.95"/>
    <x v="3"/>
    <n v="17.385000000000002"/>
    <x v="335"/>
    <x v="7"/>
    <x v="276"/>
    <x v="1"/>
    <x v="335"/>
    <n v="4.7619047620000003"/>
    <n v="17.385000000000002"/>
    <n v="5.2"/>
  </r>
  <r>
    <x v="338"/>
    <x v="1"/>
    <x v="1"/>
    <x v="1"/>
    <x v="0"/>
    <x v="1"/>
    <n v="47.65"/>
    <x v="6"/>
    <n v="7.1475"/>
    <x v="336"/>
    <x v="61"/>
    <x v="187"/>
    <x v="2"/>
    <x v="336"/>
    <n v="4.7619047620000003"/>
    <n v="7.1475"/>
    <n v="9.5"/>
  </r>
  <r>
    <x v="339"/>
    <x v="2"/>
    <x v="2"/>
    <x v="0"/>
    <x v="0"/>
    <x v="4"/>
    <n v="42.82"/>
    <x v="9"/>
    <n v="19.268999999999998"/>
    <x v="337"/>
    <x v="63"/>
    <x v="108"/>
    <x v="2"/>
    <x v="337"/>
    <n v="4.7619047620000003"/>
    <n v="19.268999999999998"/>
    <n v="8.9"/>
  </r>
  <r>
    <x v="340"/>
    <x v="2"/>
    <x v="2"/>
    <x v="0"/>
    <x v="1"/>
    <x v="1"/>
    <n v="48.09"/>
    <x v="6"/>
    <n v="7.2134999999999998"/>
    <x v="338"/>
    <x v="34"/>
    <x v="136"/>
    <x v="2"/>
    <x v="338"/>
    <n v="4.7619047620000003"/>
    <n v="7.2134999999999998"/>
    <n v="7.8"/>
  </r>
  <r>
    <x v="341"/>
    <x v="2"/>
    <x v="2"/>
    <x v="0"/>
    <x v="0"/>
    <x v="0"/>
    <n v="55.97"/>
    <x v="0"/>
    <n v="19.589500000000001"/>
    <x v="339"/>
    <x v="19"/>
    <x v="216"/>
    <x v="0"/>
    <x v="339"/>
    <n v="4.7619047620000003"/>
    <n v="19.589500000000001"/>
    <n v="8.9"/>
  </r>
  <r>
    <x v="342"/>
    <x v="2"/>
    <x v="2"/>
    <x v="0"/>
    <x v="0"/>
    <x v="0"/>
    <n v="76.900000000000006"/>
    <x v="0"/>
    <n v="26.914999999999999"/>
    <x v="340"/>
    <x v="42"/>
    <x v="277"/>
    <x v="1"/>
    <x v="340"/>
    <n v="4.7619047620000003"/>
    <n v="26.914999999999999"/>
    <n v="7.7"/>
  </r>
  <r>
    <x v="343"/>
    <x v="1"/>
    <x v="1"/>
    <x v="1"/>
    <x v="0"/>
    <x v="4"/>
    <n v="97.03"/>
    <x v="1"/>
    <n v="24.2575"/>
    <x v="341"/>
    <x v="74"/>
    <x v="75"/>
    <x v="0"/>
    <x v="341"/>
    <n v="4.7619047620000003"/>
    <n v="24.2575"/>
    <n v="9.3000000000000007"/>
  </r>
  <r>
    <x v="344"/>
    <x v="0"/>
    <x v="0"/>
    <x v="1"/>
    <x v="1"/>
    <x v="3"/>
    <n v="44.65"/>
    <x v="6"/>
    <n v="6.6974999999999998"/>
    <x v="342"/>
    <x v="44"/>
    <x v="278"/>
    <x v="1"/>
    <x v="342"/>
    <n v="4.7619047620000003"/>
    <n v="6.6974999999999998"/>
    <n v="6.2"/>
  </r>
  <r>
    <x v="345"/>
    <x v="0"/>
    <x v="0"/>
    <x v="1"/>
    <x v="0"/>
    <x v="5"/>
    <n v="77.930000000000007"/>
    <x v="9"/>
    <n v="35.0685"/>
    <x v="343"/>
    <x v="33"/>
    <x v="279"/>
    <x v="0"/>
    <x v="343"/>
    <n v="4.7619047620000003"/>
    <n v="35.0685"/>
    <n v="7.6"/>
  </r>
  <r>
    <x v="346"/>
    <x v="0"/>
    <x v="0"/>
    <x v="0"/>
    <x v="1"/>
    <x v="1"/>
    <n v="71.95"/>
    <x v="8"/>
    <n v="3.5975000000000001"/>
    <x v="344"/>
    <x v="87"/>
    <x v="280"/>
    <x v="1"/>
    <x v="344"/>
    <n v="4.7619047620000003"/>
    <n v="3.5975000000000001"/>
    <n v="7.3"/>
  </r>
  <r>
    <x v="347"/>
    <x v="1"/>
    <x v="1"/>
    <x v="0"/>
    <x v="0"/>
    <x v="2"/>
    <n v="89.25"/>
    <x v="2"/>
    <n v="35.700000000000003"/>
    <x v="345"/>
    <x v="40"/>
    <x v="173"/>
    <x v="1"/>
    <x v="345"/>
    <n v="4.7619047620000003"/>
    <n v="35.700000000000003"/>
    <n v="4.7"/>
  </r>
  <r>
    <x v="348"/>
    <x v="0"/>
    <x v="0"/>
    <x v="1"/>
    <x v="1"/>
    <x v="1"/>
    <n v="26.02"/>
    <x v="0"/>
    <n v="9.1069999999999993"/>
    <x v="346"/>
    <x v="61"/>
    <x v="180"/>
    <x v="1"/>
    <x v="346"/>
    <n v="4.7619047620000003"/>
    <n v="9.1069999999999993"/>
    <n v="5.0999999999999996"/>
  </r>
  <r>
    <x v="349"/>
    <x v="2"/>
    <x v="2"/>
    <x v="1"/>
    <x v="0"/>
    <x v="0"/>
    <n v="13.5"/>
    <x v="4"/>
    <n v="6.75"/>
    <x v="347"/>
    <x v="33"/>
    <x v="281"/>
    <x v="2"/>
    <x v="347"/>
    <n v="4.7619047620000003"/>
    <n v="6.75"/>
    <n v="4.8"/>
  </r>
  <r>
    <x v="350"/>
    <x v="1"/>
    <x v="1"/>
    <x v="0"/>
    <x v="0"/>
    <x v="5"/>
    <n v="99.3"/>
    <x v="4"/>
    <n v="49.65"/>
    <x v="348"/>
    <x v="42"/>
    <x v="222"/>
    <x v="2"/>
    <x v="348"/>
    <n v="4.7619047620000003"/>
    <n v="49.65"/>
    <n v="6.6"/>
  </r>
  <r>
    <x v="351"/>
    <x v="0"/>
    <x v="0"/>
    <x v="1"/>
    <x v="1"/>
    <x v="1"/>
    <n v="51.69"/>
    <x v="0"/>
    <n v="18.0915"/>
    <x v="349"/>
    <x v="53"/>
    <x v="282"/>
    <x v="1"/>
    <x v="349"/>
    <n v="4.7619047620000003"/>
    <n v="18.0915"/>
    <n v="5.5"/>
  </r>
  <r>
    <x v="352"/>
    <x v="2"/>
    <x v="2"/>
    <x v="0"/>
    <x v="0"/>
    <x v="5"/>
    <n v="54.73"/>
    <x v="0"/>
    <n v="19.1555"/>
    <x v="350"/>
    <x v="86"/>
    <x v="283"/>
    <x v="2"/>
    <x v="350"/>
    <n v="4.7619047620000003"/>
    <n v="19.1555"/>
    <n v="8.5"/>
  </r>
  <r>
    <x v="353"/>
    <x v="2"/>
    <x v="2"/>
    <x v="0"/>
    <x v="1"/>
    <x v="2"/>
    <n v="27"/>
    <x v="9"/>
    <n v="12.15"/>
    <x v="351"/>
    <x v="22"/>
    <x v="249"/>
    <x v="1"/>
    <x v="351"/>
    <n v="4.7619047620000003"/>
    <n v="12.15"/>
    <n v="4.8"/>
  </r>
  <r>
    <x v="354"/>
    <x v="1"/>
    <x v="1"/>
    <x v="1"/>
    <x v="0"/>
    <x v="1"/>
    <n v="30.24"/>
    <x v="8"/>
    <n v="1.512"/>
    <x v="352"/>
    <x v="31"/>
    <x v="284"/>
    <x v="1"/>
    <x v="352"/>
    <n v="4.7619047620000003"/>
    <n v="1.512"/>
    <n v="8.4"/>
  </r>
  <r>
    <x v="355"/>
    <x v="2"/>
    <x v="2"/>
    <x v="0"/>
    <x v="0"/>
    <x v="4"/>
    <n v="89.14"/>
    <x v="7"/>
    <n v="17.827999999999999"/>
    <x v="353"/>
    <x v="27"/>
    <x v="22"/>
    <x v="2"/>
    <x v="353"/>
    <n v="4.7619047620000003"/>
    <n v="17.827999999999999"/>
    <n v="7.8"/>
  </r>
  <r>
    <x v="356"/>
    <x v="1"/>
    <x v="1"/>
    <x v="1"/>
    <x v="0"/>
    <x v="5"/>
    <n v="37.549999999999997"/>
    <x v="4"/>
    <n v="18.774999999999999"/>
    <x v="354"/>
    <x v="1"/>
    <x v="285"/>
    <x v="2"/>
    <x v="354"/>
    <n v="4.7619047620000003"/>
    <n v="18.774999999999999"/>
    <n v="9.3000000000000007"/>
  </r>
  <r>
    <x v="357"/>
    <x v="1"/>
    <x v="1"/>
    <x v="1"/>
    <x v="0"/>
    <x v="3"/>
    <n v="95.44"/>
    <x v="4"/>
    <n v="47.72"/>
    <x v="355"/>
    <x v="51"/>
    <x v="286"/>
    <x v="1"/>
    <x v="355"/>
    <n v="4.7619047620000003"/>
    <n v="47.72"/>
    <n v="5.2"/>
  </r>
  <r>
    <x v="358"/>
    <x v="2"/>
    <x v="2"/>
    <x v="1"/>
    <x v="1"/>
    <x v="1"/>
    <n v="27.5"/>
    <x v="6"/>
    <n v="4.125"/>
    <x v="356"/>
    <x v="59"/>
    <x v="287"/>
    <x v="0"/>
    <x v="356"/>
    <n v="4.7619047620000003"/>
    <n v="4.125"/>
    <n v="6.5"/>
  </r>
  <r>
    <x v="359"/>
    <x v="2"/>
    <x v="2"/>
    <x v="1"/>
    <x v="1"/>
    <x v="3"/>
    <n v="74.97"/>
    <x v="8"/>
    <n v="3.7484999999999999"/>
    <x v="357"/>
    <x v="32"/>
    <x v="288"/>
    <x v="1"/>
    <x v="357"/>
    <n v="4.7619047620000003"/>
    <n v="3.7484999999999999"/>
    <n v="5.6"/>
  </r>
  <r>
    <x v="360"/>
    <x v="0"/>
    <x v="0"/>
    <x v="0"/>
    <x v="1"/>
    <x v="4"/>
    <n v="80.959999999999994"/>
    <x v="2"/>
    <n v="32.384"/>
    <x v="358"/>
    <x v="21"/>
    <x v="289"/>
    <x v="2"/>
    <x v="358"/>
    <n v="4.7619047620000003"/>
    <n v="32.384"/>
    <n v="7.4"/>
  </r>
  <r>
    <x v="361"/>
    <x v="1"/>
    <x v="1"/>
    <x v="1"/>
    <x v="0"/>
    <x v="4"/>
    <n v="94.47"/>
    <x v="2"/>
    <n v="37.787999999999997"/>
    <x v="359"/>
    <x v="33"/>
    <x v="290"/>
    <x v="1"/>
    <x v="359"/>
    <n v="4.7619047620000003"/>
    <n v="37.787999999999997"/>
    <n v="9.1"/>
  </r>
  <r>
    <x v="362"/>
    <x v="1"/>
    <x v="1"/>
    <x v="1"/>
    <x v="1"/>
    <x v="4"/>
    <n v="99.79"/>
    <x v="5"/>
    <n v="9.9789999999999992"/>
    <x v="360"/>
    <x v="37"/>
    <x v="291"/>
    <x v="0"/>
    <x v="360"/>
    <n v="4.7619047620000003"/>
    <n v="9.9789999999999992"/>
    <n v="8"/>
  </r>
  <r>
    <x v="363"/>
    <x v="0"/>
    <x v="0"/>
    <x v="1"/>
    <x v="1"/>
    <x v="2"/>
    <n v="73.22"/>
    <x v="3"/>
    <n v="21.966000000000001"/>
    <x v="361"/>
    <x v="18"/>
    <x v="292"/>
    <x v="1"/>
    <x v="361"/>
    <n v="4.7619047620000003"/>
    <n v="21.966000000000001"/>
    <n v="7.2"/>
  </r>
  <r>
    <x v="364"/>
    <x v="1"/>
    <x v="1"/>
    <x v="1"/>
    <x v="0"/>
    <x v="4"/>
    <n v="41.24"/>
    <x v="7"/>
    <n v="8.2479999999999993"/>
    <x v="362"/>
    <x v="88"/>
    <x v="293"/>
    <x v="1"/>
    <x v="362"/>
    <n v="4.7619047620000003"/>
    <n v="8.2479999999999993"/>
    <n v="7.1"/>
  </r>
  <r>
    <x v="365"/>
    <x v="1"/>
    <x v="1"/>
    <x v="1"/>
    <x v="0"/>
    <x v="5"/>
    <n v="81.680000000000007"/>
    <x v="7"/>
    <n v="16.335999999999999"/>
    <x v="363"/>
    <x v="47"/>
    <x v="294"/>
    <x v="1"/>
    <x v="363"/>
    <n v="4.7619047620000003"/>
    <n v="16.335999999999999"/>
    <n v="9.1"/>
  </r>
  <r>
    <x v="366"/>
    <x v="1"/>
    <x v="1"/>
    <x v="1"/>
    <x v="0"/>
    <x v="1"/>
    <n v="51.32"/>
    <x v="9"/>
    <n v="23.094000000000001"/>
    <x v="364"/>
    <x v="86"/>
    <x v="295"/>
    <x v="1"/>
    <x v="364"/>
    <n v="4.7619047620000003"/>
    <n v="23.094000000000001"/>
    <n v="5.6"/>
  </r>
  <r>
    <x v="367"/>
    <x v="0"/>
    <x v="0"/>
    <x v="0"/>
    <x v="1"/>
    <x v="2"/>
    <n v="65.94"/>
    <x v="7"/>
    <n v="13.188000000000001"/>
    <x v="257"/>
    <x v="62"/>
    <x v="1"/>
    <x v="1"/>
    <x v="257"/>
    <n v="4.7619047620000003"/>
    <n v="13.188000000000001"/>
    <n v="6"/>
  </r>
  <r>
    <x v="368"/>
    <x v="1"/>
    <x v="1"/>
    <x v="1"/>
    <x v="0"/>
    <x v="3"/>
    <n v="14.36"/>
    <x v="4"/>
    <n v="7.18"/>
    <x v="365"/>
    <x v="3"/>
    <x v="296"/>
    <x v="1"/>
    <x v="365"/>
    <n v="4.7619047620000003"/>
    <n v="7.18"/>
    <n v="5.4"/>
  </r>
  <r>
    <x v="369"/>
    <x v="0"/>
    <x v="0"/>
    <x v="0"/>
    <x v="1"/>
    <x v="1"/>
    <n v="21.5"/>
    <x v="9"/>
    <n v="9.6750000000000007"/>
    <x v="366"/>
    <x v="43"/>
    <x v="69"/>
    <x v="2"/>
    <x v="366"/>
    <n v="4.7619047620000003"/>
    <n v="9.6750000000000007"/>
    <n v="7.8"/>
  </r>
  <r>
    <x v="370"/>
    <x v="2"/>
    <x v="2"/>
    <x v="0"/>
    <x v="0"/>
    <x v="1"/>
    <n v="26.26"/>
    <x v="0"/>
    <n v="9.1910000000000007"/>
    <x v="367"/>
    <x v="30"/>
    <x v="138"/>
    <x v="1"/>
    <x v="367"/>
    <n v="4.7619047620000003"/>
    <n v="9.1910000000000007"/>
    <n v="9.9"/>
  </r>
  <r>
    <x v="371"/>
    <x v="2"/>
    <x v="2"/>
    <x v="1"/>
    <x v="0"/>
    <x v="5"/>
    <n v="60.96"/>
    <x v="5"/>
    <n v="6.0960000000000001"/>
    <x v="368"/>
    <x v="25"/>
    <x v="30"/>
    <x v="2"/>
    <x v="368"/>
    <n v="4.7619047620000003"/>
    <n v="6.0960000000000001"/>
    <n v="4.9000000000000004"/>
  </r>
  <r>
    <x v="372"/>
    <x v="1"/>
    <x v="1"/>
    <x v="1"/>
    <x v="0"/>
    <x v="2"/>
    <n v="70.11"/>
    <x v="3"/>
    <n v="21.033000000000001"/>
    <x v="369"/>
    <x v="86"/>
    <x v="297"/>
    <x v="0"/>
    <x v="369"/>
    <n v="4.7619047620000003"/>
    <n v="21.033000000000001"/>
    <n v="5.2"/>
  </r>
  <r>
    <x v="373"/>
    <x v="1"/>
    <x v="1"/>
    <x v="1"/>
    <x v="1"/>
    <x v="5"/>
    <n v="42.08"/>
    <x v="3"/>
    <n v="12.624000000000001"/>
    <x v="370"/>
    <x v="71"/>
    <x v="298"/>
    <x v="1"/>
    <x v="370"/>
    <n v="4.7619047620000003"/>
    <n v="12.624000000000001"/>
    <n v="8.9"/>
  </r>
  <r>
    <x v="374"/>
    <x v="0"/>
    <x v="0"/>
    <x v="1"/>
    <x v="0"/>
    <x v="2"/>
    <n v="67.09"/>
    <x v="1"/>
    <n v="16.772500000000001"/>
    <x v="371"/>
    <x v="75"/>
    <x v="157"/>
    <x v="2"/>
    <x v="371"/>
    <n v="4.7619047620000003"/>
    <n v="16.772500000000001"/>
    <n v="9.1"/>
  </r>
  <r>
    <x v="375"/>
    <x v="0"/>
    <x v="0"/>
    <x v="0"/>
    <x v="0"/>
    <x v="5"/>
    <n v="96.7"/>
    <x v="1"/>
    <n v="24.175000000000001"/>
    <x v="372"/>
    <x v="78"/>
    <x v="299"/>
    <x v="0"/>
    <x v="372"/>
    <n v="4.7619047620000003"/>
    <n v="24.175000000000001"/>
    <n v="7"/>
  </r>
  <r>
    <x v="376"/>
    <x v="2"/>
    <x v="2"/>
    <x v="0"/>
    <x v="0"/>
    <x v="2"/>
    <n v="35.380000000000003"/>
    <x v="9"/>
    <n v="15.920999999999999"/>
    <x v="373"/>
    <x v="0"/>
    <x v="300"/>
    <x v="2"/>
    <x v="373"/>
    <n v="4.7619047620000003"/>
    <n v="15.920999999999999"/>
    <n v="9.6"/>
  </r>
  <r>
    <x v="377"/>
    <x v="1"/>
    <x v="1"/>
    <x v="1"/>
    <x v="1"/>
    <x v="3"/>
    <n v="95.49"/>
    <x v="0"/>
    <n v="33.421500000000002"/>
    <x v="374"/>
    <x v="70"/>
    <x v="70"/>
    <x v="0"/>
    <x v="374"/>
    <n v="4.7619047620000003"/>
    <n v="33.421500000000002"/>
    <n v="8.6999999999999993"/>
  </r>
  <r>
    <x v="378"/>
    <x v="1"/>
    <x v="1"/>
    <x v="0"/>
    <x v="1"/>
    <x v="5"/>
    <n v="96.98"/>
    <x v="7"/>
    <n v="19.396000000000001"/>
    <x v="375"/>
    <x v="10"/>
    <x v="244"/>
    <x v="0"/>
    <x v="375"/>
    <n v="4.7619047620000003"/>
    <n v="19.396000000000001"/>
    <n v="9.4"/>
  </r>
  <r>
    <x v="379"/>
    <x v="2"/>
    <x v="2"/>
    <x v="1"/>
    <x v="0"/>
    <x v="1"/>
    <n v="23.65"/>
    <x v="7"/>
    <n v="4.7300000000000004"/>
    <x v="376"/>
    <x v="74"/>
    <x v="147"/>
    <x v="2"/>
    <x v="376"/>
    <n v="4.7619047620000003"/>
    <n v="4.7300000000000004"/>
    <n v="4"/>
  </r>
  <r>
    <x v="380"/>
    <x v="0"/>
    <x v="0"/>
    <x v="0"/>
    <x v="1"/>
    <x v="3"/>
    <n v="82.33"/>
    <x v="7"/>
    <n v="16.466000000000001"/>
    <x v="377"/>
    <x v="83"/>
    <x v="4"/>
    <x v="2"/>
    <x v="377"/>
    <n v="4.7619047620000003"/>
    <n v="16.466000000000001"/>
    <n v="7.5"/>
  </r>
  <r>
    <x v="381"/>
    <x v="1"/>
    <x v="1"/>
    <x v="1"/>
    <x v="0"/>
    <x v="1"/>
    <n v="26.61"/>
    <x v="5"/>
    <n v="2.661"/>
    <x v="378"/>
    <x v="35"/>
    <x v="63"/>
    <x v="1"/>
    <x v="378"/>
    <n v="4.7619047620000003"/>
    <n v="2.661"/>
    <n v="4.2"/>
  </r>
  <r>
    <x v="382"/>
    <x v="2"/>
    <x v="2"/>
    <x v="1"/>
    <x v="0"/>
    <x v="4"/>
    <n v="99.69"/>
    <x v="1"/>
    <n v="24.922499999999999"/>
    <x v="379"/>
    <x v="78"/>
    <x v="87"/>
    <x v="1"/>
    <x v="379"/>
    <n v="4.7619047620000003"/>
    <n v="24.922499999999999"/>
    <n v="9.9"/>
  </r>
  <r>
    <x v="383"/>
    <x v="1"/>
    <x v="1"/>
    <x v="0"/>
    <x v="0"/>
    <x v="4"/>
    <n v="74.89"/>
    <x v="7"/>
    <n v="14.978"/>
    <x v="380"/>
    <x v="59"/>
    <x v="301"/>
    <x v="0"/>
    <x v="380"/>
    <n v="4.7619047620000003"/>
    <n v="14.978"/>
    <n v="4.2"/>
  </r>
  <r>
    <x v="384"/>
    <x v="0"/>
    <x v="0"/>
    <x v="1"/>
    <x v="0"/>
    <x v="4"/>
    <n v="40.94"/>
    <x v="1"/>
    <n v="10.234999999999999"/>
    <x v="381"/>
    <x v="47"/>
    <x v="139"/>
    <x v="0"/>
    <x v="381"/>
    <n v="4.7619047620000003"/>
    <n v="10.234999999999999"/>
    <n v="9.9"/>
  </r>
  <r>
    <x v="385"/>
    <x v="2"/>
    <x v="2"/>
    <x v="0"/>
    <x v="1"/>
    <x v="3"/>
    <n v="75.819999999999993"/>
    <x v="8"/>
    <n v="3.7909999999999999"/>
    <x v="382"/>
    <x v="82"/>
    <x v="302"/>
    <x v="1"/>
    <x v="382"/>
    <n v="4.7619047620000003"/>
    <n v="3.7909999999999999"/>
    <n v="5.8"/>
  </r>
  <r>
    <x v="386"/>
    <x v="1"/>
    <x v="1"/>
    <x v="1"/>
    <x v="1"/>
    <x v="4"/>
    <n v="46.77"/>
    <x v="3"/>
    <n v="14.031000000000001"/>
    <x v="383"/>
    <x v="16"/>
    <x v="303"/>
    <x v="1"/>
    <x v="383"/>
    <n v="4.7619047620000003"/>
    <n v="14.031000000000001"/>
    <n v="6"/>
  </r>
  <r>
    <x v="387"/>
    <x v="0"/>
    <x v="0"/>
    <x v="1"/>
    <x v="0"/>
    <x v="0"/>
    <n v="32.32"/>
    <x v="4"/>
    <n v="16.16"/>
    <x v="384"/>
    <x v="9"/>
    <x v="208"/>
    <x v="2"/>
    <x v="384"/>
    <n v="4.7619047620000003"/>
    <n v="16.16"/>
    <n v="10"/>
  </r>
  <r>
    <x v="388"/>
    <x v="1"/>
    <x v="1"/>
    <x v="0"/>
    <x v="0"/>
    <x v="5"/>
    <n v="54.07"/>
    <x v="9"/>
    <n v="24.331499999999998"/>
    <x v="385"/>
    <x v="3"/>
    <x v="304"/>
    <x v="0"/>
    <x v="385"/>
    <n v="4.7619047620000003"/>
    <n v="24.331499999999998"/>
    <n v="9.5"/>
  </r>
  <r>
    <x v="389"/>
    <x v="2"/>
    <x v="2"/>
    <x v="1"/>
    <x v="1"/>
    <x v="4"/>
    <n v="18.22"/>
    <x v="0"/>
    <n v="6.3769999999999998"/>
    <x v="386"/>
    <x v="24"/>
    <x v="214"/>
    <x v="2"/>
    <x v="386"/>
    <n v="4.7619047620000003"/>
    <n v="6.3769999999999998"/>
    <n v="6.6"/>
  </r>
  <r>
    <x v="390"/>
    <x v="1"/>
    <x v="1"/>
    <x v="0"/>
    <x v="0"/>
    <x v="5"/>
    <n v="80.48"/>
    <x v="6"/>
    <n v="12.071999999999999"/>
    <x v="387"/>
    <x v="42"/>
    <x v="305"/>
    <x v="1"/>
    <x v="387"/>
    <n v="4.7619047620000003"/>
    <n v="12.071999999999999"/>
    <n v="8.1"/>
  </r>
  <r>
    <x v="391"/>
    <x v="2"/>
    <x v="2"/>
    <x v="1"/>
    <x v="0"/>
    <x v="5"/>
    <n v="37.950000000000003"/>
    <x v="4"/>
    <n v="18.975000000000001"/>
    <x v="388"/>
    <x v="53"/>
    <x v="178"/>
    <x v="1"/>
    <x v="388"/>
    <n v="4.7619047620000003"/>
    <n v="18.975000000000001"/>
    <n v="9.6999999999999993"/>
  </r>
  <r>
    <x v="392"/>
    <x v="0"/>
    <x v="0"/>
    <x v="0"/>
    <x v="1"/>
    <x v="1"/>
    <n v="76.819999999999993"/>
    <x v="8"/>
    <n v="3.8410000000000002"/>
    <x v="389"/>
    <x v="77"/>
    <x v="185"/>
    <x v="0"/>
    <x v="389"/>
    <n v="4.7619047620000003"/>
    <n v="3.8410000000000002"/>
    <n v="7.2"/>
  </r>
  <r>
    <x v="393"/>
    <x v="0"/>
    <x v="0"/>
    <x v="0"/>
    <x v="0"/>
    <x v="3"/>
    <n v="52.26"/>
    <x v="4"/>
    <n v="26.13"/>
    <x v="390"/>
    <x v="11"/>
    <x v="47"/>
    <x v="2"/>
    <x v="390"/>
    <n v="4.7619047620000003"/>
    <n v="26.13"/>
    <n v="6.2"/>
  </r>
  <r>
    <x v="394"/>
    <x v="0"/>
    <x v="0"/>
    <x v="1"/>
    <x v="0"/>
    <x v="0"/>
    <n v="79.739999999999995"/>
    <x v="8"/>
    <n v="3.9870000000000001"/>
    <x v="391"/>
    <x v="43"/>
    <x v="130"/>
    <x v="0"/>
    <x v="391"/>
    <n v="4.7619047620000003"/>
    <n v="3.9870000000000001"/>
    <n v="7.3"/>
  </r>
  <r>
    <x v="395"/>
    <x v="0"/>
    <x v="0"/>
    <x v="1"/>
    <x v="0"/>
    <x v="0"/>
    <n v="77.5"/>
    <x v="1"/>
    <n v="19.375"/>
    <x v="392"/>
    <x v="46"/>
    <x v="58"/>
    <x v="0"/>
    <x v="392"/>
    <n v="4.7619047620000003"/>
    <n v="19.375"/>
    <n v="4.3"/>
  </r>
  <r>
    <x v="396"/>
    <x v="0"/>
    <x v="0"/>
    <x v="1"/>
    <x v="0"/>
    <x v="4"/>
    <n v="54.27"/>
    <x v="1"/>
    <n v="13.567500000000001"/>
    <x v="393"/>
    <x v="45"/>
    <x v="249"/>
    <x v="0"/>
    <x v="393"/>
    <n v="4.7619047620000003"/>
    <n v="13.567500000000001"/>
    <n v="4.5999999999999996"/>
  </r>
  <r>
    <x v="397"/>
    <x v="2"/>
    <x v="2"/>
    <x v="1"/>
    <x v="1"/>
    <x v="2"/>
    <n v="13.59"/>
    <x v="9"/>
    <n v="6.1154999999999999"/>
    <x v="394"/>
    <x v="20"/>
    <x v="306"/>
    <x v="1"/>
    <x v="394"/>
    <n v="4.7619047620000003"/>
    <n v="6.1154999999999999"/>
    <n v="5.8"/>
  </r>
  <r>
    <x v="398"/>
    <x v="2"/>
    <x v="2"/>
    <x v="0"/>
    <x v="0"/>
    <x v="0"/>
    <n v="41.06"/>
    <x v="3"/>
    <n v="12.318"/>
    <x v="395"/>
    <x v="19"/>
    <x v="241"/>
    <x v="2"/>
    <x v="395"/>
    <n v="4.7619047620000003"/>
    <n v="12.318"/>
    <n v="8.3000000000000007"/>
  </r>
  <r>
    <x v="399"/>
    <x v="2"/>
    <x v="2"/>
    <x v="0"/>
    <x v="1"/>
    <x v="1"/>
    <n v="19.239999999999998"/>
    <x v="9"/>
    <n v="8.6579999999999995"/>
    <x v="396"/>
    <x v="31"/>
    <x v="235"/>
    <x v="1"/>
    <x v="396"/>
    <n v="4.7619047620000003"/>
    <n v="8.6579999999999995"/>
    <n v="8"/>
  </r>
  <r>
    <x v="400"/>
    <x v="1"/>
    <x v="1"/>
    <x v="1"/>
    <x v="0"/>
    <x v="4"/>
    <n v="39.43"/>
    <x v="3"/>
    <n v="11.829000000000001"/>
    <x v="397"/>
    <x v="5"/>
    <x v="307"/>
    <x v="2"/>
    <x v="397"/>
    <n v="4.7619047620000003"/>
    <n v="11.829000000000001"/>
    <n v="9.4"/>
  </r>
  <r>
    <x v="401"/>
    <x v="1"/>
    <x v="1"/>
    <x v="1"/>
    <x v="1"/>
    <x v="2"/>
    <n v="46.22"/>
    <x v="7"/>
    <n v="9.2439999999999998"/>
    <x v="398"/>
    <x v="41"/>
    <x v="308"/>
    <x v="2"/>
    <x v="398"/>
    <n v="4.7619047620000003"/>
    <n v="9.2439999999999998"/>
    <n v="6.2"/>
  </r>
  <r>
    <x v="402"/>
    <x v="1"/>
    <x v="1"/>
    <x v="0"/>
    <x v="1"/>
    <x v="2"/>
    <n v="13.98"/>
    <x v="8"/>
    <n v="0.69899999999999995"/>
    <x v="399"/>
    <x v="87"/>
    <x v="309"/>
    <x v="0"/>
    <x v="399"/>
    <n v="4.7619047620000003"/>
    <n v="0.69899999999999995"/>
    <n v="9.8000000000000007"/>
  </r>
  <r>
    <x v="403"/>
    <x v="2"/>
    <x v="2"/>
    <x v="1"/>
    <x v="0"/>
    <x v="5"/>
    <n v="39.75"/>
    <x v="1"/>
    <n v="9.9375"/>
    <x v="400"/>
    <x v="70"/>
    <x v="100"/>
    <x v="0"/>
    <x v="400"/>
    <n v="4.7619047620000003"/>
    <n v="9.9375"/>
    <n v="9.6"/>
  </r>
  <r>
    <x v="404"/>
    <x v="1"/>
    <x v="1"/>
    <x v="0"/>
    <x v="0"/>
    <x v="5"/>
    <n v="97.79"/>
    <x v="0"/>
    <n v="34.226500000000001"/>
    <x v="401"/>
    <x v="69"/>
    <x v="310"/>
    <x v="0"/>
    <x v="401"/>
    <n v="4.7619047620000003"/>
    <n v="34.226500000000001"/>
    <n v="4.9000000000000004"/>
  </r>
  <r>
    <x v="405"/>
    <x v="0"/>
    <x v="0"/>
    <x v="0"/>
    <x v="1"/>
    <x v="3"/>
    <n v="67.260000000000005"/>
    <x v="7"/>
    <n v="13.452"/>
    <x v="402"/>
    <x v="64"/>
    <x v="311"/>
    <x v="2"/>
    <x v="402"/>
    <n v="4.7619047620000003"/>
    <n v="13.452"/>
    <n v="8"/>
  </r>
  <r>
    <x v="406"/>
    <x v="0"/>
    <x v="0"/>
    <x v="1"/>
    <x v="1"/>
    <x v="4"/>
    <n v="13.79"/>
    <x v="1"/>
    <n v="3.4474999999999998"/>
    <x v="403"/>
    <x v="83"/>
    <x v="312"/>
    <x v="2"/>
    <x v="403"/>
    <n v="4.7619047620000003"/>
    <n v="3.4474999999999998"/>
    <n v="7.8"/>
  </r>
  <r>
    <x v="407"/>
    <x v="2"/>
    <x v="2"/>
    <x v="0"/>
    <x v="0"/>
    <x v="5"/>
    <n v="68.709999999999994"/>
    <x v="7"/>
    <n v="13.742000000000001"/>
    <x v="404"/>
    <x v="72"/>
    <x v="54"/>
    <x v="1"/>
    <x v="404"/>
    <n v="4.7619047620000003"/>
    <n v="13.742000000000001"/>
    <n v="4.0999999999999996"/>
  </r>
  <r>
    <x v="408"/>
    <x v="0"/>
    <x v="0"/>
    <x v="1"/>
    <x v="0"/>
    <x v="2"/>
    <n v="56.53"/>
    <x v="7"/>
    <n v="11.305999999999999"/>
    <x v="405"/>
    <x v="31"/>
    <x v="28"/>
    <x v="0"/>
    <x v="405"/>
    <n v="4.7619047620000003"/>
    <n v="11.305999999999999"/>
    <n v="5.5"/>
  </r>
  <r>
    <x v="409"/>
    <x v="1"/>
    <x v="1"/>
    <x v="1"/>
    <x v="0"/>
    <x v="5"/>
    <n v="23.82"/>
    <x v="1"/>
    <n v="5.9550000000000001"/>
    <x v="406"/>
    <x v="26"/>
    <x v="225"/>
    <x v="0"/>
    <x v="406"/>
    <n v="4.7619047620000003"/>
    <n v="5.9550000000000001"/>
    <n v="5.4"/>
  </r>
  <r>
    <x v="410"/>
    <x v="2"/>
    <x v="2"/>
    <x v="1"/>
    <x v="0"/>
    <x v="0"/>
    <n v="34.21"/>
    <x v="4"/>
    <n v="17.105"/>
    <x v="407"/>
    <x v="56"/>
    <x v="127"/>
    <x v="1"/>
    <x v="407"/>
    <n v="4.7619047620000003"/>
    <n v="17.105"/>
    <n v="5.0999999999999996"/>
  </r>
  <r>
    <x v="411"/>
    <x v="2"/>
    <x v="2"/>
    <x v="1"/>
    <x v="1"/>
    <x v="3"/>
    <n v="21.87"/>
    <x v="5"/>
    <n v="2.1869999999999998"/>
    <x v="408"/>
    <x v="25"/>
    <x v="194"/>
    <x v="0"/>
    <x v="408"/>
    <n v="4.7619047620000003"/>
    <n v="2.1869999999999998"/>
    <n v="6.9"/>
  </r>
  <r>
    <x v="412"/>
    <x v="0"/>
    <x v="0"/>
    <x v="0"/>
    <x v="1"/>
    <x v="0"/>
    <n v="20.97"/>
    <x v="1"/>
    <n v="5.2424999999999997"/>
    <x v="409"/>
    <x v="72"/>
    <x v="265"/>
    <x v="1"/>
    <x v="409"/>
    <n v="4.7619047620000003"/>
    <n v="5.2424999999999997"/>
    <n v="7.8"/>
  </r>
  <r>
    <x v="413"/>
    <x v="0"/>
    <x v="0"/>
    <x v="1"/>
    <x v="1"/>
    <x v="3"/>
    <n v="25.84"/>
    <x v="6"/>
    <n v="3.8759999999999999"/>
    <x v="410"/>
    <x v="24"/>
    <x v="313"/>
    <x v="0"/>
    <x v="410"/>
    <n v="4.7619047620000003"/>
    <n v="3.8759999999999999"/>
    <n v="6.6"/>
  </r>
  <r>
    <x v="414"/>
    <x v="0"/>
    <x v="0"/>
    <x v="1"/>
    <x v="1"/>
    <x v="2"/>
    <n v="50.93"/>
    <x v="2"/>
    <n v="20.372"/>
    <x v="411"/>
    <x v="23"/>
    <x v="314"/>
    <x v="0"/>
    <x v="411"/>
    <n v="4.7619047620000003"/>
    <n v="20.372"/>
    <n v="9.1999999999999993"/>
  </r>
  <r>
    <x v="415"/>
    <x v="2"/>
    <x v="2"/>
    <x v="1"/>
    <x v="1"/>
    <x v="0"/>
    <n v="96.11"/>
    <x v="8"/>
    <n v="4.8055000000000003"/>
    <x v="412"/>
    <x v="25"/>
    <x v="235"/>
    <x v="0"/>
    <x v="412"/>
    <n v="4.7619047620000003"/>
    <n v="4.8055000000000003"/>
    <n v="7.8"/>
  </r>
  <r>
    <x v="416"/>
    <x v="1"/>
    <x v="1"/>
    <x v="1"/>
    <x v="0"/>
    <x v="2"/>
    <n v="45.38"/>
    <x v="7"/>
    <n v="9.0760000000000005"/>
    <x v="413"/>
    <x v="66"/>
    <x v="128"/>
    <x v="2"/>
    <x v="413"/>
    <n v="4.7619047620000003"/>
    <n v="9.0760000000000005"/>
    <n v="8.6999999999999993"/>
  </r>
  <r>
    <x v="417"/>
    <x v="1"/>
    <x v="1"/>
    <x v="0"/>
    <x v="0"/>
    <x v="0"/>
    <n v="81.510000000000005"/>
    <x v="8"/>
    <n v="4.0754999999999999"/>
    <x v="414"/>
    <x v="49"/>
    <x v="315"/>
    <x v="0"/>
    <x v="414"/>
    <n v="4.7619047620000003"/>
    <n v="4.0754999999999999"/>
    <n v="9.1999999999999993"/>
  </r>
  <r>
    <x v="418"/>
    <x v="2"/>
    <x v="2"/>
    <x v="1"/>
    <x v="0"/>
    <x v="0"/>
    <n v="57.22"/>
    <x v="5"/>
    <n v="5.7220000000000004"/>
    <x v="415"/>
    <x v="52"/>
    <x v="316"/>
    <x v="0"/>
    <x v="415"/>
    <n v="4.7619047620000003"/>
    <n v="5.7220000000000004"/>
    <n v="8.3000000000000007"/>
  </r>
  <r>
    <x v="419"/>
    <x v="0"/>
    <x v="0"/>
    <x v="0"/>
    <x v="0"/>
    <x v="1"/>
    <n v="25.22"/>
    <x v="0"/>
    <n v="8.827"/>
    <x v="416"/>
    <x v="87"/>
    <x v="81"/>
    <x v="1"/>
    <x v="416"/>
    <n v="4.7619047620000003"/>
    <n v="8.827"/>
    <n v="8.1999999999999993"/>
  </r>
  <r>
    <x v="420"/>
    <x v="1"/>
    <x v="1"/>
    <x v="0"/>
    <x v="0"/>
    <x v="4"/>
    <n v="38.6"/>
    <x v="6"/>
    <n v="5.79"/>
    <x v="417"/>
    <x v="61"/>
    <x v="317"/>
    <x v="0"/>
    <x v="417"/>
    <n v="4.7619047620000003"/>
    <n v="5.79"/>
    <n v="7.5"/>
  </r>
  <r>
    <x v="421"/>
    <x v="1"/>
    <x v="1"/>
    <x v="1"/>
    <x v="0"/>
    <x v="1"/>
    <n v="84.05"/>
    <x v="6"/>
    <n v="12.6075"/>
    <x v="418"/>
    <x v="54"/>
    <x v="236"/>
    <x v="1"/>
    <x v="418"/>
    <n v="4.7619047620000003"/>
    <n v="12.6075"/>
    <n v="9.8000000000000007"/>
  </r>
  <r>
    <x v="422"/>
    <x v="1"/>
    <x v="1"/>
    <x v="0"/>
    <x v="0"/>
    <x v="5"/>
    <n v="97.21"/>
    <x v="4"/>
    <n v="48.604999999999997"/>
    <x v="419"/>
    <x v="4"/>
    <x v="127"/>
    <x v="2"/>
    <x v="419"/>
    <n v="4.7619047620000003"/>
    <n v="48.604999999999997"/>
    <n v="8.6999999999999993"/>
  </r>
  <r>
    <x v="423"/>
    <x v="2"/>
    <x v="2"/>
    <x v="0"/>
    <x v="1"/>
    <x v="5"/>
    <n v="25.42"/>
    <x v="2"/>
    <n v="10.167999999999999"/>
    <x v="420"/>
    <x v="35"/>
    <x v="144"/>
    <x v="2"/>
    <x v="420"/>
    <n v="4.7619047620000003"/>
    <n v="10.167999999999999"/>
    <n v="6.7"/>
  </r>
  <r>
    <x v="424"/>
    <x v="1"/>
    <x v="1"/>
    <x v="1"/>
    <x v="1"/>
    <x v="5"/>
    <n v="16.28"/>
    <x v="8"/>
    <n v="0.81399999999999995"/>
    <x v="421"/>
    <x v="11"/>
    <x v="29"/>
    <x v="1"/>
    <x v="421"/>
    <n v="4.7619047620000003"/>
    <n v="0.81399999999999995"/>
    <n v="5"/>
  </r>
  <r>
    <x v="425"/>
    <x v="2"/>
    <x v="2"/>
    <x v="0"/>
    <x v="1"/>
    <x v="5"/>
    <n v="40.61"/>
    <x v="9"/>
    <n v="18.2745"/>
    <x v="422"/>
    <x v="56"/>
    <x v="61"/>
    <x v="1"/>
    <x v="422"/>
    <n v="4.7619047620000003"/>
    <n v="18.2745"/>
    <n v="7"/>
  </r>
  <r>
    <x v="426"/>
    <x v="0"/>
    <x v="0"/>
    <x v="0"/>
    <x v="1"/>
    <x v="0"/>
    <n v="53.17"/>
    <x v="0"/>
    <n v="18.609500000000001"/>
    <x v="423"/>
    <x v="18"/>
    <x v="240"/>
    <x v="1"/>
    <x v="423"/>
    <n v="4.7619047620000003"/>
    <n v="18.609500000000001"/>
    <n v="8.9"/>
  </r>
  <r>
    <x v="427"/>
    <x v="2"/>
    <x v="2"/>
    <x v="0"/>
    <x v="0"/>
    <x v="4"/>
    <n v="20.87"/>
    <x v="6"/>
    <n v="3.1305000000000001"/>
    <x v="424"/>
    <x v="80"/>
    <x v="318"/>
    <x v="2"/>
    <x v="424"/>
    <n v="4.7619047620000003"/>
    <n v="3.1305000000000001"/>
    <n v="8"/>
  </r>
  <r>
    <x v="428"/>
    <x v="2"/>
    <x v="2"/>
    <x v="1"/>
    <x v="1"/>
    <x v="3"/>
    <n v="67.27"/>
    <x v="1"/>
    <n v="16.817499999999999"/>
    <x v="425"/>
    <x v="33"/>
    <x v="272"/>
    <x v="1"/>
    <x v="425"/>
    <n v="4.7619047620000003"/>
    <n v="16.817499999999999"/>
    <n v="6.9"/>
  </r>
  <r>
    <x v="429"/>
    <x v="0"/>
    <x v="0"/>
    <x v="0"/>
    <x v="0"/>
    <x v="2"/>
    <n v="90.65"/>
    <x v="4"/>
    <n v="45.325000000000003"/>
    <x v="426"/>
    <x v="1"/>
    <x v="164"/>
    <x v="0"/>
    <x v="426"/>
    <n v="4.7619047620000003"/>
    <n v="45.325000000000003"/>
    <n v="7.3"/>
  </r>
  <r>
    <x v="430"/>
    <x v="2"/>
    <x v="2"/>
    <x v="1"/>
    <x v="1"/>
    <x v="5"/>
    <n v="69.08"/>
    <x v="5"/>
    <n v="6.9080000000000004"/>
    <x v="427"/>
    <x v="82"/>
    <x v="28"/>
    <x v="2"/>
    <x v="427"/>
    <n v="4.7619047620000003"/>
    <n v="6.9080000000000004"/>
    <n v="6.9"/>
  </r>
  <r>
    <x v="431"/>
    <x v="1"/>
    <x v="1"/>
    <x v="1"/>
    <x v="1"/>
    <x v="4"/>
    <n v="43.27"/>
    <x v="5"/>
    <n v="4.327"/>
    <x v="428"/>
    <x v="1"/>
    <x v="319"/>
    <x v="0"/>
    <x v="428"/>
    <n v="4.7619047620000003"/>
    <n v="4.327"/>
    <n v="5.7"/>
  </r>
  <r>
    <x v="432"/>
    <x v="0"/>
    <x v="0"/>
    <x v="1"/>
    <x v="0"/>
    <x v="1"/>
    <n v="23.46"/>
    <x v="3"/>
    <n v="7.0380000000000003"/>
    <x v="429"/>
    <x v="50"/>
    <x v="195"/>
    <x v="0"/>
    <x v="429"/>
    <n v="4.7619047620000003"/>
    <n v="7.0380000000000003"/>
    <n v="6.4"/>
  </r>
  <r>
    <x v="433"/>
    <x v="2"/>
    <x v="2"/>
    <x v="1"/>
    <x v="1"/>
    <x v="5"/>
    <n v="95.54"/>
    <x v="0"/>
    <n v="33.439"/>
    <x v="430"/>
    <x v="11"/>
    <x v="6"/>
    <x v="2"/>
    <x v="430"/>
    <n v="4.7619047620000003"/>
    <n v="33.439"/>
    <n v="9.6"/>
  </r>
  <r>
    <x v="434"/>
    <x v="2"/>
    <x v="2"/>
    <x v="1"/>
    <x v="0"/>
    <x v="5"/>
    <n v="47.44"/>
    <x v="8"/>
    <n v="2.3719999999999999"/>
    <x v="431"/>
    <x v="70"/>
    <x v="96"/>
    <x v="2"/>
    <x v="431"/>
    <n v="4.7619047620000003"/>
    <n v="2.3719999999999999"/>
    <n v="6.8"/>
  </r>
  <r>
    <x v="435"/>
    <x v="1"/>
    <x v="1"/>
    <x v="1"/>
    <x v="1"/>
    <x v="3"/>
    <n v="99.24"/>
    <x v="9"/>
    <n v="44.658000000000001"/>
    <x v="432"/>
    <x v="35"/>
    <x v="268"/>
    <x v="0"/>
    <x v="432"/>
    <n v="4.7619047620000003"/>
    <n v="44.658000000000001"/>
    <n v="9"/>
  </r>
  <r>
    <x v="436"/>
    <x v="1"/>
    <x v="1"/>
    <x v="0"/>
    <x v="1"/>
    <x v="3"/>
    <n v="82.93"/>
    <x v="7"/>
    <n v="16.585999999999999"/>
    <x v="433"/>
    <x v="40"/>
    <x v="320"/>
    <x v="0"/>
    <x v="433"/>
    <n v="4.7619047620000003"/>
    <n v="16.585999999999999"/>
    <n v="9.6"/>
  </r>
  <r>
    <x v="437"/>
    <x v="0"/>
    <x v="0"/>
    <x v="1"/>
    <x v="1"/>
    <x v="2"/>
    <n v="33.99"/>
    <x v="3"/>
    <n v="10.196999999999999"/>
    <x v="434"/>
    <x v="1"/>
    <x v="321"/>
    <x v="2"/>
    <x v="434"/>
    <n v="4.7619047620000003"/>
    <n v="10.196999999999999"/>
    <n v="7.7"/>
  </r>
  <r>
    <x v="438"/>
    <x v="1"/>
    <x v="1"/>
    <x v="0"/>
    <x v="1"/>
    <x v="4"/>
    <n v="17.04"/>
    <x v="7"/>
    <n v="3.4079999999999999"/>
    <x v="435"/>
    <x v="1"/>
    <x v="322"/>
    <x v="0"/>
    <x v="435"/>
    <n v="4.7619047620000003"/>
    <n v="3.4079999999999999"/>
    <n v="7"/>
  </r>
  <r>
    <x v="439"/>
    <x v="1"/>
    <x v="1"/>
    <x v="1"/>
    <x v="0"/>
    <x v="1"/>
    <n v="40.86"/>
    <x v="2"/>
    <n v="16.344000000000001"/>
    <x v="436"/>
    <x v="13"/>
    <x v="242"/>
    <x v="2"/>
    <x v="436"/>
    <n v="4.7619047620000003"/>
    <n v="16.344000000000001"/>
    <n v="6.5"/>
  </r>
  <r>
    <x v="440"/>
    <x v="1"/>
    <x v="1"/>
    <x v="0"/>
    <x v="1"/>
    <x v="4"/>
    <n v="17.440000000000001"/>
    <x v="1"/>
    <n v="4.3600000000000003"/>
    <x v="437"/>
    <x v="15"/>
    <x v="126"/>
    <x v="1"/>
    <x v="437"/>
    <n v="4.7619047620000003"/>
    <n v="4.3600000000000003"/>
    <n v="8.1"/>
  </r>
  <r>
    <x v="441"/>
    <x v="2"/>
    <x v="2"/>
    <x v="0"/>
    <x v="0"/>
    <x v="3"/>
    <n v="88.43"/>
    <x v="2"/>
    <n v="35.372"/>
    <x v="438"/>
    <x v="23"/>
    <x v="323"/>
    <x v="2"/>
    <x v="438"/>
    <n v="4.7619047620000003"/>
    <n v="35.372"/>
    <n v="4.3"/>
  </r>
  <r>
    <x v="442"/>
    <x v="0"/>
    <x v="0"/>
    <x v="0"/>
    <x v="0"/>
    <x v="2"/>
    <n v="89.21"/>
    <x v="9"/>
    <n v="40.144500000000001"/>
    <x v="439"/>
    <x v="15"/>
    <x v="324"/>
    <x v="2"/>
    <x v="439"/>
    <n v="4.7619047620000003"/>
    <n v="40.144500000000001"/>
    <n v="6.5"/>
  </r>
  <r>
    <x v="443"/>
    <x v="1"/>
    <x v="1"/>
    <x v="1"/>
    <x v="1"/>
    <x v="5"/>
    <n v="12.78"/>
    <x v="8"/>
    <n v="0.63900000000000001"/>
    <x v="440"/>
    <x v="66"/>
    <x v="325"/>
    <x v="0"/>
    <x v="440"/>
    <n v="4.7619047620000003"/>
    <n v="0.63900000000000001"/>
    <n v="9.5"/>
  </r>
  <r>
    <x v="444"/>
    <x v="0"/>
    <x v="0"/>
    <x v="1"/>
    <x v="0"/>
    <x v="3"/>
    <n v="19.100000000000001"/>
    <x v="0"/>
    <n v="6.6849999999999996"/>
    <x v="441"/>
    <x v="15"/>
    <x v="100"/>
    <x v="1"/>
    <x v="441"/>
    <n v="4.7619047620000003"/>
    <n v="6.6849999999999996"/>
    <n v="9.6999999999999993"/>
  </r>
  <r>
    <x v="445"/>
    <x v="2"/>
    <x v="2"/>
    <x v="0"/>
    <x v="0"/>
    <x v="0"/>
    <n v="19.149999999999999"/>
    <x v="8"/>
    <n v="0.95750000000000002"/>
    <x v="442"/>
    <x v="26"/>
    <x v="326"/>
    <x v="2"/>
    <x v="442"/>
    <n v="4.7619047620000003"/>
    <n v="0.95750000000000002"/>
    <n v="9.5"/>
  </r>
  <r>
    <x v="446"/>
    <x v="1"/>
    <x v="1"/>
    <x v="0"/>
    <x v="1"/>
    <x v="4"/>
    <n v="27.66"/>
    <x v="4"/>
    <n v="13.83"/>
    <x v="443"/>
    <x v="44"/>
    <x v="55"/>
    <x v="2"/>
    <x v="443"/>
    <n v="4.7619047620000003"/>
    <n v="13.83"/>
    <n v="8.9"/>
  </r>
  <r>
    <x v="447"/>
    <x v="1"/>
    <x v="1"/>
    <x v="1"/>
    <x v="1"/>
    <x v="5"/>
    <n v="45.74"/>
    <x v="6"/>
    <n v="6.8609999999999998"/>
    <x v="444"/>
    <x v="24"/>
    <x v="180"/>
    <x v="2"/>
    <x v="444"/>
    <n v="4.7619047620000003"/>
    <n v="6.8609999999999998"/>
    <n v="6.5"/>
  </r>
  <r>
    <x v="448"/>
    <x v="2"/>
    <x v="2"/>
    <x v="0"/>
    <x v="0"/>
    <x v="0"/>
    <n v="27.07"/>
    <x v="8"/>
    <n v="1.3534999999999999"/>
    <x v="445"/>
    <x v="52"/>
    <x v="105"/>
    <x v="2"/>
    <x v="445"/>
    <n v="4.7619047620000003"/>
    <n v="1.3534999999999999"/>
    <n v="5.3"/>
  </r>
  <r>
    <x v="449"/>
    <x v="2"/>
    <x v="2"/>
    <x v="0"/>
    <x v="0"/>
    <x v="3"/>
    <n v="39.119999999999997"/>
    <x v="8"/>
    <n v="1.956"/>
    <x v="446"/>
    <x v="58"/>
    <x v="327"/>
    <x v="2"/>
    <x v="446"/>
    <n v="4.7619047620000003"/>
    <n v="1.956"/>
    <n v="9.6"/>
  </r>
  <r>
    <x v="450"/>
    <x v="2"/>
    <x v="2"/>
    <x v="1"/>
    <x v="0"/>
    <x v="1"/>
    <n v="74.709999999999994"/>
    <x v="3"/>
    <n v="22.413"/>
    <x v="447"/>
    <x v="17"/>
    <x v="312"/>
    <x v="1"/>
    <x v="447"/>
    <n v="4.7619047620000003"/>
    <n v="22.413"/>
    <n v="6.7"/>
  </r>
  <r>
    <x v="451"/>
    <x v="2"/>
    <x v="2"/>
    <x v="1"/>
    <x v="1"/>
    <x v="1"/>
    <n v="22.01"/>
    <x v="3"/>
    <n v="6.6029999999999998"/>
    <x v="448"/>
    <x v="56"/>
    <x v="68"/>
    <x v="1"/>
    <x v="448"/>
    <n v="4.7619047620000003"/>
    <n v="6.6029999999999998"/>
    <n v="7.6"/>
  </r>
  <r>
    <x v="452"/>
    <x v="0"/>
    <x v="0"/>
    <x v="1"/>
    <x v="0"/>
    <x v="4"/>
    <n v="63.61"/>
    <x v="1"/>
    <n v="15.9025"/>
    <x v="449"/>
    <x v="32"/>
    <x v="31"/>
    <x v="0"/>
    <x v="449"/>
    <n v="4.7619047620000003"/>
    <n v="15.9025"/>
    <n v="4.8"/>
  </r>
  <r>
    <x v="453"/>
    <x v="0"/>
    <x v="0"/>
    <x v="1"/>
    <x v="1"/>
    <x v="0"/>
    <n v="25"/>
    <x v="8"/>
    <n v="1.25"/>
    <x v="450"/>
    <x v="2"/>
    <x v="328"/>
    <x v="0"/>
    <x v="450"/>
    <n v="4.7619047620000003"/>
    <n v="1.25"/>
    <n v="5.5"/>
  </r>
  <r>
    <x v="454"/>
    <x v="0"/>
    <x v="0"/>
    <x v="0"/>
    <x v="1"/>
    <x v="1"/>
    <n v="20.77"/>
    <x v="7"/>
    <n v="4.1539999999999999"/>
    <x v="451"/>
    <x v="82"/>
    <x v="329"/>
    <x v="1"/>
    <x v="451"/>
    <n v="4.7619047620000003"/>
    <n v="4.1539999999999999"/>
    <n v="4.7"/>
  </r>
  <r>
    <x v="455"/>
    <x v="2"/>
    <x v="2"/>
    <x v="0"/>
    <x v="0"/>
    <x v="5"/>
    <n v="29.56"/>
    <x v="1"/>
    <n v="7.39"/>
    <x v="452"/>
    <x v="77"/>
    <x v="330"/>
    <x v="1"/>
    <x v="452"/>
    <n v="4.7619047620000003"/>
    <n v="7.39"/>
    <n v="6.9"/>
  </r>
  <r>
    <x v="456"/>
    <x v="2"/>
    <x v="2"/>
    <x v="0"/>
    <x v="0"/>
    <x v="4"/>
    <n v="77.400000000000006"/>
    <x v="9"/>
    <n v="34.83"/>
    <x v="453"/>
    <x v="42"/>
    <x v="331"/>
    <x v="2"/>
    <x v="453"/>
    <n v="4.7619047620000003"/>
    <n v="34.83"/>
    <n v="4.5"/>
  </r>
  <r>
    <x v="457"/>
    <x v="2"/>
    <x v="2"/>
    <x v="1"/>
    <x v="1"/>
    <x v="1"/>
    <n v="79.39"/>
    <x v="4"/>
    <n v="39.695"/>
    <x v="454"/>
    <x v="13"/>
    <x v="181"/>
    <x v="1"/>
    <x v="454"/>
    <n v="4.7619047620000003"/>
    <n v="39.695"/>
    <n v="6.2"/>
  </r>
  <r>
    <x v="458"/>
    <x v="1"/>
    <x v="1"/>
    <x v="0"/>
    <x v="0"/>
    <x v="1"/>
    <n v="46.57"/>
    <x v="4"/>
    <n v="23.285"/>
    <x v="455"/>
    <x v="3"/>
    <x v="139"/>
    <x v="1"/>
    <x v="455"/>
    <n v="4.7619047620000003"/>
    <n v="23.285"/>
    <n v="7.6"/>
  </r>
  <r>
    <x v="459"/>
    <x v="1"/>
    <x v="1"/>
    <x v="1"/>
    <x v="1"/>
    <x v="4"/>
    <n v="35.89"/>
    <x v="8"/>
    <n v="1.7945"/>
    <x v="456"/>
    <x v="55"/>
    <x v="233"/>
    <x v="2"/>
    <x v="456"/>
    <n v="4.7619047620000003"/>
    <n v="1.7945"/>
    <n v="7.9"/>
  </r>
  <r>
    <x v="460"/>
    <x v="1"/>
    <x v="1"/>
    <x v="1"/>
    <x v="1"/>
    <x v="4"/>
    <n v="40.520000000000003"/>
    <x v="1"/>
    <n v="10.130000000000001"/>
    <x v="457"/>
    <x v="36"/>
    <x v="332"/>
    <x v="1"/>
    <x v="457"/>
    <n v="4.7619047620000003"/>
    <n v="10.130000000000001"/>
    <n v="4.5"/>
  </r>
  <r>
    <x v="461"/>
    <x v="2"/>
    <x v="2"/>
    <x v="0"/>
    <x v="0"/>
    <x v="4"/>
    <n v="73.05"/>
    <x v="4"/>
    <n v="36.524999999999999"/>
    <x v="458"/>
    <x v="2"/>
    <x v="298"/>
    <x v="2"/>
    <x v="458"/>
    <n v="4.7619047620000003"/>
    <n v="36.524999999999999"/>
    <n v="8.6999999999999993"/>
  </r>
  <r>
    <x v="462"/>
    <x v="1"/>
    <x v="1"/>
    <x v="1"/>
    <x v="0"/>
    <x v="3"/>
    <n v="73.95"/>
    <x v="7"/>
    <n v="14.79"/>
    <x v="459"/>
    <x v="36"/>
    <x v="177"/>
    <x v="1"/>
    <x v="459"/>
    <n v="4.7619047620000003"/>
    <n v="14.79"/>
    <n v="6.1"/>
  </r>
  <r>
    <x v="463"/>
    <x v="1"/>
    <x v="1"/>
    <x v="0"/>
    <x v="0"/>
    <x v="4"/>
    <n v="22.62"/>
    <x v="8"/>
    <n v="1.131"/>
    <x v="460"/>
    <x v="85"/>
    <x v="262"/>
    <x v="1"/>
    <x v="460"/>
    <n v="4.7619047620000003"/>
    <n v="1.131"/>
    <n v="6.4"/>
  </r>
  <r>
    <x v="464"/>
    <x v="0"/>
    <x v="0"/>
    <x v="0"/>
    <x v="1"/>
    <x v="4"/>
    <n v="51.34"/>
    <x v="1"/>
    <n v="12.835000000000001"/>
    <x v="461"/>
    <x v="61"/>
    <x v="26"/>
    <x v="2"/>
    <x v="461"/>
    <n v="4.7619047620000003"/>
    <n v="12.835000000000001"/>
    <n v="9.1"/>
  </r>
  <r>
    <x v="465"/>
    <x v="1"/>
    <x v="1"/>
    <x v="0"/>
    <x v="0"/>
    <x v="3"/>
    <n v="54.55"/>
    <x v="4"/>
    <n v="27.274999999999999"/>
    <x v="462"/>
    <x v="22"/>
    <x v="218"/>
    <x v="2"/>
    <x v="462"/>
    <n v="4.7619047620000003"/>
    <n v="27.274999999999999"/>
    <n v="7.1"/>
  </r>
  <r>
    <x v="466"/>
    <x v="1"/>
    <x v="1"/>
    <x v="0"/>
    <x v="0"/>
    <x v="0"/>
    <n v="37.15"/>
    <x v="0"/>
    <n v="13.0025"/>
    <x v="463"/>
    <x v="4"/>
    <x v="258"/>
    <x v="2"/>
    <x v="463"/>
    <n v="4.7619047620000003"/>
    <n v="13.0025"/>
    <n v="7.7"/>
  </r>
  <r>
    <x v="467"/>
    <x v="2"/>
    <x v="2"/>
    <x v="1"/>
    <x v="1"/>
    <x v="3"/>
    <n v="37.020000000000003"/>
    <x v="3"/>
    <n v="11.106"/>
    <x v="464"/>
    <x v="23"/>
    <x v="333"/>
    <x v="1"/>
    <x v="464"/>
    <n v="4.7619047620000003"/>
    <n v="11.106"/>
    <n v="4.5"/>
  </r>
  <r>
    <x v="468"/>
    <x v="1"/>
    <x v="1"/>
    <x v="1"/>
    <x v="1"/>
    <x v="4"/>
    <n v="21.58"/>
    <x v="8"/>
    <n v="1.079"/>
    <x v="465"/>
    <x v="57"/>
    <x v="177"/>
    <x v="0"/>
    <x v="465"/>
    <n v="4.7619047620000003"/>
    <n v="1.079"/>
    <n v="7.2"/>
  </r>
  <r>
    <x v="469"/>
    <x v="1"/>
    <x v="1"/>
    <x v="0"/>
    <x v="0"/>
    <x v="1"/>
    <n v="98.84"/>
    <x v="8"/>
    <n v="4.9420000000000002"/>
    <x v="466"/>
    <x v="42"/>
    <x v="274"/>
    <x v="1"/>
    <x v="466"/>
    <n v="4.7619047620000003"/>
    <n v="4.9420000000000002"/>
    <n v="8.4"/>
  </r>
  <r>
    <x v="470"/>
    <x v="1"/>
    <x v="1"/>
    <x v="0"/>
    <x v="0"/>
    <x v="2"/>
    <n v="83.77"/>
    <x v="3"/>
    <n v="25.131"/>
    <x v="467"/>
    <x v="54"/>
    <x v="334"/>
    <x v="0"/>
    <x v="467"/>
    <n v="4.7619047620000003"/>
    <n v="25.131"/>
    <n v="5.4"/>
  </r>
  <r>
    <x v="471"/>
    <x v="0"/>
    <x v="0"/>
    <x v="0"/>
    <x v="0"/>
    <x v="3"/>
    <n v="40.049999999999997"/>
    <x v="7"/>
    <n v="8.01"/>
    <x v="468"/>
    <x v="25"/>
    <x v="335"/>
    <x v="1"/>
    <x v="468"/>
    <n v="4.7619047620000003"/>
    <n v="8.01"/>
    <n v="9.6999999999999993"/>
  </r>
  <r>
    <x v="472"/>
    <x v="0"/>
    <x v="0"/>
    <x v="0"/>
    <x v="1"/>
    <x v="5"/>
    <n v="43.13"/>
    <x v="4"/>
    <n v="21.565000000000001"/>
    <x v="469"/>
    <x v="30"/>
    <x v="201"/>
    <x v="2"/>
    <x v="469"/>
    <n v="4.7619047620000003"/>
    <n v="21.565000000000001"/>
    <n v="5.5"/>
  </r>
  <r>
    <x v="473"/>
    <x v="2"/>
    <x v="2"/>
    <x v="0"/>
    <x v="1"/>
    <x v="0"/>
    <n v="72.569999999999993"/>
    <x v="2"/>
    <n v="29.027999999999999"/>
    <x v="470"/>
    <x v="73"/>
    <x v="326"/>
    <x v="1"/>
    <x v="470"/>
    <n v="4.7619047620000003"/>
    <n v="29.027999999999999"/>
    <n v="4.5999999999999996"/>
  </r>
  <r>
    <x v="474"/>
    <x v="0"/>
    <x v="0"/>
    <x v="0"/>
    <x v="0"/>
    <x v="1"/>
    <n v="64.44"/>
    <x v="1"/>
    <n v="16.11"/>
    <x v="471"/>
    <x v="73"/>
    <x v="72"/>
    <x v="1"/>
    <x v="471"/>
    <n v="4.7619047620000003"/>
    <n v="16.11"/>
    <n v="6.6"/>
  </r>
  <r>
    <x v="475"/>
    <x v="0"/>
    <x v="0"/>
    <x v="1"/>
    <x v="1"/>
    <x v="0"/>
    <n v="65.180000000000007"/>
    <x v="6"/>
    <n v="9.7769999999999992"/>
    <x v="472"/>
    <x v="6"/>
    <x v="82"/>
    <x v="2"/>
    <x v="472"/>
    <n v="4.7619047620000003"/>
    <n v="9.7769999999999992"/>
    <n v="6.3"/>
  </r>
  <r>
    <x v="476"/>
    <x v="0"/>
    <x v="0"/>
    <x v="1"/>
    <x v="0"/>
    <x v="3"/>
    <n v="33.26"/>
    <x v="1"/>
    <n v="8.3149999999999995"/>
    <x v="473"/>
    <x v="79"/>
    <x v="279"/>
    <x v="2"/>
    <x v="473"/>
    <n v="4.7619047620000003"/>
    <n v="8.3149999999999995"/>
    <n v="4.2"/>
  </r>
  <r>
    <x v="477"/>
    <x v="1"/>
    <x v="1"/>
    <x v="1"/>
    <x v="1"/>
    <x v="1"/>
    <n v="84.07"/>
    <x v="7"/>
    <n v="16.814"/>
    <x v="474"/>
    <x v="37"/>
    <x v="336"/>
    <x v="0"/>
    <x v="474"/>
    <n v="4.7619047620000003"/>
    <n v="16.814"/>
    <n v="4.4000000000000004"/>
  </r>
  <r>
    <x v="478"/>
    <x v="2"/>
    <x v="2"/>
    <x v="1"/>
    <x v="1"/>
    <x v="3"/>
    <n v="34.369999999999997"/>
    <x v="4"/>
    <n v="17.184999999999999"/>
    <x v="475"/>
    <x v="32"/>
    <x v="41"/>
    <x v="0"/>
    <x v="475"/>
    <n v="4.7619047620000003"/>
    <n v="17.184999999999999"/>
    <n v="6.7"/>
  </r>
  <r>
    <x v="479"/>
    <x v="0"/>
    <x v="0"/>
    <x v="1"/>
    <x v="1"/>
    <x v="1"/>
    <n v="38.6"/>
    <x v="8"/>
    <n v="1.93"/>
    <x v="476"/>
    <x v="71"/>
    <x v="55"/>
    <x v="0"/>
    <x v="476"/>
    <n v="4.7619047620000003"/>
    <n v="1.93"/>
    <n v="6.7"/>
  </r>
  <r>
    <x v="480"/>
    <x v="1"/>
    <x v="1"/>
    <x v="1"/>
    <x v="1"/>
    <x v="4"/>
    <n v="65.97"/>
    <x v="2"/>
    <n v="26.388000000000002"/>
    <x v="477"/>
    <x v="30"/>
    <x v="245"/>
    <x v="1"/>
    <x v="477"/>
    <n v="4.7619047620000003"/>
    <n v="26.388000000000002"/>
    <n v="8.4"/>
  </r>
  <r>
    <x v="481"/>
    <x v="1"/>
    <x v="1"/>
    <x v="1"/>
    <x v="0"/>
    <x v="1"/>
    <n v="32.799999999999997"/>
    <x v="4"/>
    <n v="16.399999999999999"/>
    <x v="478"/>
    <x v="42"/>
    <x v="294"/>
    <x v="1"/>
    <x v="478"/>
    <n v="4.7619047620000003"/>
    <n v="16.399999999999999"/>
    <n v="6.2"/>
  </r>
  <r>
    <x v="482"/>
    <x v="0"/>
    <x v="0"/>
    <x v="1"/>
    <x v="1"/>
    <x v="3"/>
    <n v="37.14"/>
    <x v="1"/>
    <n v="9.2850000000000001"/>
    <x v="479"/>
    <x v="66"/>
    <x v="137"/>
    <x v="0"/>
    <x v="479"/>
    <n v="4.7619047620000003"/>
    <n v="9.2850000000000001"/>
    <n v="5"/>
  </r>
  <r>
    <x v="483"/>
    <x v="2"/>
    <x v="2"/>
    <x v="0"/>
    <x v="1"/>
    <x v="2"/>
    <n v="60.38"/>
    <x v="4"/>
    <n v="30.19"/>
    <x v="480"/>
    <x v="12"/>
    <x v="15"/>
    <x v="1"/>
    <x v="480"/>
    <n v="4.7619047620000003"/>
    <n v="30.19"/>
    <n v="6"/>
  </r>
  <r>
    <x v="484"/>
    <x v="1"/>
    <x v="1"/>
    <x v="0"/>
    <x v="0"/>
    <x v="3"/>
    <n v="36.979999999999997"/>
    <x v="4"/>
    <n v="18.489999999999998"/>
    <x v="481"/>
    <x v="17"/>
    <x v="28"/>
    <x v="2"/>
    <x v="481"/>
    <n v="4.7619047620000003"/>
    <n v="18.489999999999998"/>
    <n v="7"/>
  </r>
  <r>
    <x v="485"/>
    <x v="2"/>
    <x v="2"/>
    <x v="0"/>
    <x v="0"/>
    <x v="3"/>
    <n v="49.49"/>
    <x v="7"/>
    <n v="9.8979999999999997"/>
    <x v="482"/>
    <x v="76"/>
    <x v="337"/>
    <x v="0"/>
    <x v="482"/>
    <n v="4.7619047620000003"/>
    <n v="9.8979999999999997"/>
    <n v="6.6"/>
  </r>
  <r>
    <x v="486"/>
    <x v="2"/>
    <x v="2"/>
    <x v="1"/>
    <x v="0"/>
    <x v="5"/>
    <n v="41.09"/>
    <x v="4"/>
    <n v="20.545000000000002"/>
    <x v="483"/>
    <x v="38"/>
    <x v="51"/>
    <x v="1"/>
    <x v="483"/>
    <n v="4.7619047620000003"/>
    <n v="20.545000000000002"/>
    <n v="7.3"/>
  </r>
  <r>
    <x v="487"/>
    <x v="0"/>
    <x v="0"/>
    <x v="1"/>
    <x v="1"/>
    <x v="5"/>
    <n v="37.15"/>
    <x v="7"/>
    <n v="7.43"/>
    <x v="484"/>
    <x v="28"/>
    <x v="188"/>
    <x v="0"/>
    <x v="484"/>
    <n v="4.7619047620000003"/>
    <n v="7.43"/>
    <n v="8.3000000000000007"/>
  </r>
  <r>
    <x v="488"/>
    <x v="1"/>
    <x v="1"/>
    <x v="1"/>
    <x v="1"/>
    <x v="2"/>
    <n v="22.96"/>
    <x v="8"/>
    <n v="1.1479999999999999"/>
    <x v="485"/>
    <x v="74"/>
    <x v="338"/>
    <x v="1"/>
    <x v="485"/>
    <n v="4.7619047620000003"/>
    <n v="1.1479999999999999"/>
    <n v="4.3"/>
  </r>
  <r>
    <x v="489"/>
    <x v="2"/>
    <x v="2"/>
    <x v="0"/>
    <x v="0"/>
    <x v="2"/>
    <n v="77.680000000000007"/>
    <x v="9"/>
    <n v="34.956000000000003"/>
    <x v="486"/>
    <x v="87"/>
    <x v="265"/>
    <x v="0"/>
    <x v="486"/>
    <n v="4.7619047620000003"/>
    <n v="34.956000000000003"/>
    <n v="9.8000000000000007"/>
  </r>
  <r>
    <x v="490"/>
    <x v="2"/>
    <x v="2"/>
    <x v="1"/>
    <x v="0"/>
    <x v="5"/>
    <n v="34.700000000000003"/>
    <x v="5"/>
    <n v="3.47"/>
    <x v="487"/>
    <x v="45"/>
    <x v="28"/>
    <x v="0"/>
    <x v="487"/>
    <n v="4.7619047620000003"/>
    <n v="3.47"/>
    <n v="8.1999999999999993"/>
  </r>
  <r>
    <x v="491"/>
    <x v="0"/>
    <x v="0"/>
    <x v="0"/>
    <x v="0"/>
    <x v="5"/>
    <n v="19.66"/>
    <x v="4"/>
    <n v="9.83"/>
    <x v="488"/>
    <x v="20"/>
    <x v="339"/>
    <x v="2"/>
    <x v="488"/>
    <n v="4.7619047620000003"/>
    <n v="9.83"/>
    <n v="7.2"/>
  </r>
  <r>
    <x v="492"/>
    <x v="2"/>
    <x v="2"/>
    <x v="0"/>
    <x v="0"/>
    <x v="0"/>
    <n v="25.32"/>
    <x v="2"/>
    <n v="10.128"/>
    <x v="489"/>
    <x v="19"/>
    <x v="181"/>
    <x v="0"/>
    <x v="489"/>
    <n v="4.7619047620000003"/>
    <n v="10.128"/>
    <n v="8.6999999999999993"/>
  </r>
  <r>
    <x v="493"/>
    <x v="1"/>
    <x v="1"/>
    <x v="0"/>
    <x v="0"/>
    <x v="2"/>
    <n v="12.12"/>
    <x v="4"/>
    <n v="6.06"/>
    <x v="490"/>
    <x v="19"/>
    <x v="189"/>
    <x v="2"/>
    <x v="490"/>
    <n v="4.7619047620000003"/>
    <n v="6.06"/>
    <n v="8.4"/>
  </r>
  <r>
    <x v="494"/>
    <x v="2"/>
    <x v="2"/>
    <x v="1"/>
    <x v="1"/>
    <x v="5"/>
    <n v="99.89"/>
    <x v="5"/>
    <n v="9.9890000000000008"/>
    <x v="491"/>
    <x v="84"/>
    <x v="340"/>
    <x v="0"/>
    <x v="491"/>
    <n v="4.7619047620000003"/>
    <n v="9.9890000000000008"/>
    <n v="7.1"/>
  </r>
  <r>
    <x v="495"/>
    <x v="2"/>
    <x v="2"/>
    <x v="1"/>
    <x v="1"/>
    <x v="3"/>
    <n v="75.92"/>
    <x v="2"/>
    <n v="30.367999999999999"/>
    <x v="492"/>
    <x v="80"/>
    <x v="341"/>
    <x v="1"/>
    <x v="492"/>
    <n v="4.7619047620000003"/>
    <n v="30.367999999999999"/>
    <n v="5.5"/>
  </r>
  <r>
    <x v="496"/>
    <x v="1"/>
    <x v="1"/>
    <x v="1"/>
    <x v="0"/>
    <x v="1"/>
    <n v="63.22"/>
    <x v="5"/>
    <n v="6.3220000000000001"/>
    <x v="493"/>
    <x v="17"/>
    <x v="232"/>
    <x v="1"/>
    <x v="493"/>
    <n v="4.7619047620000003"/>
    <n v="6.3220000000000001"/>
    <n v="8.5"/>
  </r>
  <r>
    <x v="497"/>
    <x v="1"/>
    <x v="1"/>
    <x v="1"/>
    <x v="0"/>
    <x v="4"/>
    <n v="90.24"/>
    <x v="3"/>
    <n v="27.071999999999999"/>
    <x v="494"/>
    <x v="3"/>
    <x v="342"/>
    <x v="1"/>
    <x v="494"/>
    <n v="4.7619047620000003"/>
    <n v="27.071999999999999"/>
    <n v="6.2"/>
  </r>
  <r>
    <x v="498"/>
    <x v="2"/>
    <x v="2"/>
    <x v="0"/>
    <x v="0"/>
    <x v="3"/>
    <n v="98.13"/>
    <x v="8"/>
    <n v="4.9065000000000003"/>
    <x v="495"/>
    <x v="18"/>
    <x v="24"/>
    <x v="1"/>
    <x v="495"/>
    <n v="4.7619047620000003"/>
    <n v="4.9065000000000003"/>
    <n v="8.9"/>
  </r>
  <r>
    <x v="499"/>
    <x v="0"/>
    <x v="0"/>
    <x v="0"/>
    <x v="0"/>
    <x v="3"/>
    <n v="51.52"/>
    <x v="2"/>
    <n v="20.608000000000001"/>
    <x v="496"/>
    <x v="30"/>
    <x v="46"/>
    <x v="1"/>
    <x v="496"/>
    <n v="4.7619047620000003"/>
    <n v="20.608000000000001"/>
    <n v="9.6"/>
  </r>
  <r>
    <x v="500"/>
    <x v="2"/>
    <x v="2"/>
    <x v="0"/>
    <x v="1"/>
    <x v="3"/>
    <n v="73.97"/>
    <x v="8"/>
    <n v="3.6985000000000001"/>
    <x v="497"/>
    <x v="36"/>
    <x v="183"/>
    <x v="2"/>
    <x v="497"/>
    <n v="4.7619047620000003"/>
    <n v="3.6985000000000001"/>
    <n v="5.4"/>
  </r>
  <r>
    <x v="501"/>
    <x v="1"/>
    <x v="1"/>
    <x v="0"/>
    <x v="0"/>
    <x v="5"/>
    <n v="31.9"/>
    <x v="8"/>
    <n v="1.595"/>
    <x v="498"/>
    <x v="0"/>
    <x v="343"/>
    <x v="0"/>
    <x v="498"/>
    <n v="4.7619047620000003"/>
    <n v="1.595"/>
    <n v="9.1"/>
  </r>
  <r>
    <x v="502"/>
    <x v="1"/>
    <x v="1"/>
    <x v="1"/>
    <x v="1"/>
    <x v="2"/>
    <n v="69.400000000000006"/>
    <x v="5"/>
    <n v="6.94"/>
    <x v="499"/>
    <x v="3"/>
    <x v="28"/>
    <x v="0"/>
    <x v="499"/>
    <n v="4.7619047620000003"/>
    <n v="6.94"/>
    <n v="9"/>
  </r>
  <r>
    <x v="503"/>
    <x v="2"/>
    <x v="2"/>
    <x v="1"/>
    <x v="0"/>
    <x v="3"/>
    <n v="93.31"/>
    <x v="5"/>
    <n v="9.3309999999999995"/>
    <x v="500"/>
    <x v="5"/>
    <x v="344"/>
    <x v="1"/>
    <x v="500"/>
    <n v="4.7619047620000003"/>
    <n v="9.3309999999999995"/>
    <n v="6.3"/>
  </r>
  <r>
    <x v="504"/>
    <x v="2"/>
    <x v="2"/>
    <x v="1"/>
    <x v="1"/>
    <x v="3"/>
    <n v="88.45"/>
    <x v="8"/>
    <n v="4.4225000000000003"/>
    <x v="501"/>
    <x v="6"/>
    <x v="345"/>
    <x v="2"/>
    <x v="501"/>
    <n v="4.7619047620000003"/>
    <n v="4.4225000000000003"/>
    <n v="9.5"/>
  </r>
  <r>
    <x v="505"/>
    <x v="0"/>
    <x v="0"/>
    <x v="0"/>
    <x v="1"/>
    <x v="1"/>
    <n v="24.18"/>
    <x v="2"/>
    <n v="9.6720000000000006"/>
    <x v="502"/>
    <x v="26"/>
    <x v="98"/>
    <x v="0"/>
    <x v="502"/>
    <n v="4.7619047620000003"/>
    <n v="9.6720000000000006"/>
    <n v="9.8000000000000007"/>
  </r>
  <r>
    <x v="506"/>
    <x v="2"/>
    <x v="2"/>
    <x v="0"/>
    <x v="0"/>
    <x v="3"/>
    <n v="48.5"/>
    <x v="6"/>
    <n v="7.2750000000000004"/>
    <x v="503"/>
    <x v="66"/>
    <x v="165"/>
    <x v="1"/>
    <x v="503"/>
    <n v="4.7619047620000003"/>
    <n v="7.2750000000000004"/>
    <n v="6.7"/>
  </r>
  <r>
    <x v="507"/>
    <x v="2"/>
    <x v="2"/>
    <x v="1"/>
    <x v="0"/>
    <x v="4"/>
    <n v="84.05"/>
    <x v="3"/>
    <n v="25.215"/>
    <x v="504"/>
    <x v="71"/>
    <x v="346"/>
    <x v="2"/>
    <x v="504"/>
    <n v="4.7619047620000003"/>
    <n v="25.215"/>
    <n v="7.7"/>
  </r>
  <r>
    <x v="508"/>
    <x v="2"/>
    <x v="2"/>
    <x v="0"/>
    <x v="1"/>
    <x v="0"/>
    <n v="61.29"/>
    <x v="1"/>
    <n v="15.3225"/>
    <x v="505"/>
    <x v="14"/>
    <x v="296"/>
    <x v="1"/>
    <x v="505"/>
    <n v="4.7619047620000003"/>
    <n v="15.3225"/>
    <n v="7"/>
  </r>
  <r>
    <x v="509"/>
    <x v="1"/>
    <x v="1"/>
    <x v="0"/>
    <x v="0"/>
    <x v="2"/>
    <n v="15.95"/>
    <x v="3"/>
    <n v="4.7850000000000001"/>
    <x v="506"/>
    <x v="57"/>
    <x v="8"/>
    <x v="2"/>
    <x v="506"/>
    <n v="4.7619047620000003"/>
    <n v="4.7850000000000001"/>
    <n v="5.0999999999999996"/>
  </r>
  <r>
    <x v="510"/>
    <x v="2"/>
    <x v="2"/>
    <x v="0"/>
    <x v="0"/>
    <x v="3"/>
    <n v="90.74"/>
    <x v="0"/>
    <n v="31.759"/>
    <x v="507"/>
    <x v="65"/>
    <x v="172"/>
    <x v="2"/>
    <x v="507"/>
    <n v="4.7619047620000003"/>
    <n v="31.759"/>
    <n v="6.2"/>
  </r>
  <r>
    <x v="511"/>
    <x v="0"/>
    <x v="0"/>
    <x v="1"/>
    <x v="0"/>
    <x v="2"/>
    <n v="42.91"/>
    <x v="1"/>
    <n v="10.727499999999999"/>
    <x v="508"/>
    <x v="0"/>
    <x v="260"/>
    <x v="0"/>
    <x v="508"/>
    <n v="4.7619047620000003"/>
    <n v="10.727499999999999"/>
    <n v="6.1"/>
  </r>
  <r>
    <x v="512"/>
    <x v="0"/>
    <x v="0"/>
    <x v="1"/>
    <x v="0"/>
    <x v="5"/>
    <n v="54.28"/>
    <x v="0"/>
    <n v="18.998000000000001"/>
    <x v="509"/>
    <x v="3"/>
    <x v="347"/>
    <x v="0"/>
    <x v="509"/>
    <n v="4.7619047620000003"/>
    <n v="18.998000000000001"/>
    <n v="9.3000000000000007"/>
  </r>
  <r>
    <x v="513"/>
    <x v="0"/>
    <x v="0"/>
    <x v="1"/>
    <x v="1"/>
    <x v="1"/>
    <n v="99.55"/>
    <x v="0"/>
    <n v="34.842500000000001"/>
    <x v="510"/>
    <x v="86"/>
    <x v="348"/>
    <x v="1"/>
    <x v="510"/>
    <n v="4.7619047620000003"/>
    <n v="34.842500000000001"/>
    <n v="7.6"/>
  </r>
  <r>
    <x v="514"/>
    <x v="1"/>
    <x v="1"/>
    <x v="0"/>
    <x v="1"/>
    <x v="3"/>
    <n v="58.39"/>
    <x v="0"/>
    <n v="20.436499999999999"/>
    <x v="511"/>
    <x v="55"/>
    <x v="349"/>
    <x v="2"/>
    <x v="511"/>
    <n v="4.7619047620000003"/>
    <n v="20.436499999999999"/>
    <n v="8.1999999999999993"/>
  </r>
  <r>
    <x v="515"/>
    <x v="1"/>
    <x v="1"/>
    <x v="0"/>
    <x v="0"/>
    <x v="5"/>
    <n v="51.47"/>
    <x v="8"/>
    <n v="2.5735000000000001"/>
    <x v="512"/>
    <x v="79"/>
    <x v="350"/>
    <x v="0"/>
    <x v="512"/>
    <n v="4.7619047620000003"/>
    <n v="2.5735000000000001"/>
    <n v="8.5"/>
  </r>
  <r>
    <x v="516"/>
    <x v="2"/>
    <x v="2"/>
    <x v="0"/>
    <x v="1"/>
    <x v="0"/>
    <n v="54.86"/>
    <x v="1"/>
    <n v="13.715"/>
    <x v="513"/>
    <x v="14"/>
    <x v="13"/>
    <x v="0"/>
    <x v="513"/>
    <n v="4.7619047620000003"/>
    <n v="13.715"/>
    <n v="9.8000000000000007"/>
  </r>
  <r>
    <x v="517"/>
    <x v="1"/>
    <x v="1"/>
    <x v="0"/>
    <x v="1"/>
    <x v="2"/>
    <n v="39.39"/>
    <x v="1"/>
    <n v="9.8475000000000001"/>
    <x v="514"/>
    <x v="49"/>
    <x v="351"/>
    <x v="2"/>
    <x v="514"/>
    <n v="4.7619047620000003"/>
    <n v="9.8475000000000001"/>
    <n v="8.6999999999999993"/>
  </r>
  <r>
    <x v="518"/>
    <x v="0"/>
    <x v="0"/>
    <x v="1"/>
    <x v="1"/>
    <x v="2"/>
    <n v="34.729999999999997"/>
    <x v="5"/>
    <n v="3.4729999999999999"/>
    <x v="515"/>
    <x v="59"/>
    <x v="92"/>
    <x v="0"/>
    <x v="515"/>
    <n v="4.7619047620000003"/>
    <n v="3.4729999999999999"/>
    <n v="9.6999999999999993"/>
  </r>
  <r>
    <x v="519"/>
    <x v="1"/>
    <x v="1"/>
    <x v="0"/>
    <x v="1"/>
    <x v="3"/>
    <n v="71.92"/>
    <x v="1"/>
    <n v="17.98"/>
    <x v="516"/>
    <x v="29"/>
    <x v="184"/>
    <x v="2"/>
    <x v="516"/>
    <n v="4.7619047620000003"/>
    <n v="17.98"/>
    <n v="4.3"/>
  </r>
  <r>
    <x v="520"/>
    <x v="2"/>
    <x v="2"/>
    <x v="1"/>
    <x v="0"/>
    <x v="1"/>
    <n v="45.71"/>
    <x v="6"/>
    <n v="6.8564999999999996"/>
    <x v="517"/>
    <x v="58"/>
    <x v="352"/>
    <x v="2"/>
    <x v="517"/>
    <n v="4.7619047620000003"/>
    <n v="6.8564999999999996"/>
    <n v="7.7"/>
  </r>
  <r>
    <x v="521"/>
    <x v="1"/>
    <x v="1"/>
    <x v="0"/>
    <x v="0"/>
    <x v="2"/>
    <n v="83.17"/>
    <x v="3"/>
    <n v="24.951000000000001"/>
    <x v="518"/>
    <x v="80"/>
    <x v="219"/>
    <x v="1"/>
    <x v="518"/>
    <n v="4.7619047620000003"/>
    <n v="24.951000000000001"/>
    <n v="7.3"/>
  </r>
  <r>
    <x v="522"/>
    <x v="0"/>
    <x v="0"/>
    <x v="0"/>
    <x v="0"/>
    <x v="2"/>
    <n v="37.44"/>
    <x v="3"/>
    <n v="11.231999999999999"/>
    <x v="519"/>
    <x v="10"/>
    <x v="353"/>
    <x v="2"/>
    <x v="519"/>
    <n v="4.7619047620000003"/>
    <n v="11.231999999999999"/>
    <n v="5.9"/>
  </r>
  <r>
    <x v="523"/>
    <x v="1"/>
    <x v="1"/>
    <x v="1"/>
    <x v="1"/>
    <x v="0"/>
    <n v="62.87"/>
    <x v="5"/>
    <n v="6.2869999999999999"/>
    <x v="520"/>
    <x v="17"/>
    <x v="354"/>
    <x v="1"/>
    <x v="520"/>
    <n v="4.7619047620000003"/>
    <n v="6.2869999999999999"/>
    <n v="5"/>
  </r>
  <r>
    <x v="524"/>
    <x v="0"/>
    <x v="0"/>
    <x v="1"/>
    <x v="1"/>
    <x v="4"/>
    <n v="81.709999999999994"/>
    <x v="3"/>
    <n v="24.513000000000002"/>
    <x v="521"/>
    <x v="3"/>
    <x v="6"/>
    <x v="2"/>
    <x v="521"/>
    <n v="4.7619047620000003"/>
    <n v="24.513000000000002"/>
    <n v="8"/>
  </r>
  <r>
    <x v="525"/>
    <x v="0"/>
    <x v="0"/>
    <x v="0"/>
    <x v="0"/>
    <x v="3"/>
    <n v="91.41"/>
    <x v="1"/>
    <n v="22.852499999999999"/>
    <x v="522"/>
    <x v="6"/>
    <x v="355"/>
    <x v="0"/>
    <x v="522"/>
    <n v="4.7619047620000003"/>
    <n v="22.852499999999999"/>
    <n v="7.1"/>
  </r>
  <r>
    <x v="526"/>
    <x v="2"/>
    <x v="2"/>
    <x v="1"/>
    <x v="1"/>
    <x v="5"/>
    <n v="39.21"/>
    <x v="7"/>
    <n v="7.8419999999999996"/>
    <x v="523"/>
    <x v="65"/>
    <x v="356"/>
    <x v="2"/>
    <x v="523"/>
    <n v="4.7619047620000003"/>
    <n v="7.8419999999999996"/>
    <n v="9"/>
  </r>
  <r>
    <x v="527"/>
    <x v="2"/>
    <x v="2"/>
    <x v="0"/>
    <x v="1"/>
    <x v="5"/>
    <n v="59.86"/>
    <x v="5"/>
    <n v="5.9859999999999998"/>
    <x v="524"/>
    <x v="50"/>
    <x v="304"/>
    <x v="0"/>
    <x v="524"/>
    <n v="4.7619047620000003"/>
    <n v="5.9859999999999998"/>
    <n v="6.7"/>
  </r>
  <r>
    <x v="528"/>
    <x v="2"/>
    <x v="2"/>
    <x v="0"/>
    <x v="0"/>
    <x v="4"/>
    <n v="54.36"/>
    <x v="4"/>
    <n v="27.18"/>
    <x v="525"/>
    <x v="13"/>
    <x v="56"/>
    <x v="2"/>
    <x v="525"/>
    <n v="4.7619047620000003"/>
    <n v="27.18"/>
    <n v="6.1"/>
  </r>
  <r>
    <x v="529"/>
    <x v="0"/>
    <x v="0"/>
    <x v="1"/>
    <x v="1"/>
    <x v="3"/>
    <n v="98.09"/>
    <x v="9"/>
    <n v="44.140500000000003"/>
    <x v="526"/>
    <x v="21"/>
    <x v="357"/>
    <x v="1"/>
    <x v="526"/>
    <n v="4.7619047620000003"/>
    <n v="44.140500000000003"/>
    <n v="9.3000000000000007"/>
  </r>
  <r>
    <x v="530"/>
    <x v="0"/>
    <x v="0"/>
    <x v="1"/>
    <x v="1"/>
    <x v="0"/>
    <n v="25.43"/>
    <x v="3"/>
    <n v="7.6289999999999996"/>
    <x v="527"/>
    <x v="12"/>
    <x v="54"/>
    <x v="0"/>
    <x v="527"/>
    <n v="4.7619047620000003"/>
    <n v="7.6289999999999996"/>
    <n v="7"/>
  </r>
  <r>
    <x v="531"/>
    <x v="0"/>
    <x v="0"/>
    <x v="0"/>
    <x v="1"/>
    <x v="5"/>
    <n v="86.68"/>
    <x v="2"/>
    <n v="34.671999999999997"/>
    <x v="528"/>
    <x v="46"/>
    <x v="358"/>
    <x v="2"/>
    <x v="528"/>
    <n v="4.7619047620000003"/>
    <n v="34.671999999999997"/>
    <n v="7.2"/>
  </r>
  <r>
    <x v="532"/>
    <x v="2"/>
    <x v="2"/>
    <x v="1"/>
    <x v="1"/>
    <x v="1"/>
    <n v="22.95"/>
    <x v="4"/>
    <n v="11.475"/>
    <x v="529"/>
    <x v="10"/>
    <x v="25"/>
    <x v="0"/>
    <x v="529"/>
    <n v="4.7619047620000003"/>
    <n v="11.475"/>
    <n v="8.1999999999999993"/>
  </r>
  <r>
    <x v="533"/>
    <x v="1"/>
    <x v="1"/>
    <x v="1"/>
    <x v="0"/>
    <x v="4"/>
    <n v="16.309999999999999"/>
    <x v="9"/>
    <n v="7.3395000000000001"/>
    <x v="530"/>
    <x v="58"/>
    <x v="359"/>
    <x v="0"/>
    <x v="530"/>
    <n v="4.7619047620000003"/>
    <n v="7.3395000000000001"/>
    <n v="8.4"/>
  </r>
  <r>
    <x v="534"/>
    <x v="0"/>
    <x v="0"/>
    <x v="1"/>
    <x v="0"/>
    <x v="2"/>
    <n v="28.32"/>
    <x v="1"/>
    <n v="7.08"/>
    <x v="531"/>
    <x v="16"/>
    <x v="360"/>
    <x v="0"/>
    <x v="531"/>
    <n v="4.7619047620000003"/>
    <n v="7.08"/>
    <n v="6.2"/>
  </r>
  <r>
    <x v="535"/>
    <x v="1"/>
    <x v="1"/>
    <x v="1"/>
    <x v="1"/>
    <x v="2"/>
    <n v="16.670000000000002"/>
    <x v="0"/>
    <n v="5.8345000000000002"/>
    <x v="532"/>
    <x v="13"/>
    <x v="150"/>
    <x v="0"/>
    <x v="532"/>
    <n v="4.7619047620000003"/>
    <n v="5.8345000000000002"/>
    <n v="7.4"/>
  </r>
  <r>
    <x v="536"/>
    <x v="2"/>
    <x v="2"/>
    <x v="0"/>
    <x v="0"/>
    <x v="5"/>
    <n v="73.959999999999994"/>
    <x v="8"/>
    <n v="3.698"/>
    <x v="533"/>
    <x v="0"/>
    <x v="102"/>
    <x v="2"/>
    <x v="533"/>
    <n v="4.7619047620000003"/>
    <n v="3.698"/>
    <n v="5"/>
  </r>
  <r>
    <x v="537"/>
    <x v="0"/>
    <x v="0"/>
    <x v="1"/>
    <x v="1"/>
    <x v="2"/>
    <n v="97.94"/>
    <x v="8"/>
    <n v="4.8970000000000002"/>
    <x v="534"/>
    <x v="37"/>
    <x v="231"/>
    <x v="0"/>
    <x v="534"/>
    <n v="4.7619047620000003"/>
    <n v="4.8970000000000002"/>
    <n v="6.9"/>
  </r>
  <r>
    <x v="538"/>
    <x v="0"/>
    <x v="0"/>
    <x v="1"/>
    <x v="0"/>
    <x v="5"/>
    <n v="73.05"/>
    <x v="7"/>
    <n v="14.61"/>
    <x v="535"/>
    <x v="6"/>
    <x v="361"/>
    <x v="2"/>
    <x v="535"/>
    <n v="4.7619047620000003"/>
    <n v="14.61"/>
    <n v="4.9000000000000004"/>
  </r>
  <r>
    <x v="539"/>
    <x v="1"/>
    <x v="1"/>
    <x v="0"/>
    <x v="0"/>
    <x v="4"/>
    <n v="87.48"/>
    <x v="3"/>
    <n v="26.244"/>
    <x v="536"/>
    <x v="60"/>
    <x v="362"/>
    <x v="0"/>
    <x v="536"/>
    <n v="4.7619047620000003"/>
    <n v="26.244"/>
    <n v="5.0999999999999996"/>
  </r>
  <r>
    <x v="540"/>
    <x v="0"/>
    <x v="0"/>
    <x v="1"/>
    <x v="1"/>
    <x v="2"/>
    <n v="30.68"/>
    <x v="6"/>
    <n v="4.6020000000000003"/>
    <x v="537"/>
    <x v="49"/>
    <x v="224"/>
    <x v="0"/>
    <x v="537"/>
    <n v="4.7619047620000003"/>
    <n v="4.6020000000000003"/>
    <n v="9.1"/>
  </r>
  <r>
    <x v="541"/>
    <x v="1"/>
    <x v="1"/>
    <x v="0"/>
    <x v="1"/>
    <x v="0"/>
    <n v="75.88"/>
    <x v="8"/>
    <n v="3.794"/>
    <x v="538"/>
    <x v="75"/>
    <x v="363"/>
    <x v="2"/>
    <x v="538"/>
    <n v="4.7619047620000003"/>
    <n v="3.794"/>
    <n v="7.1"/>
  </r>
  <r>
    <x v="542"/>
    <x v="2"/>
    <x v="2"/>
    <x v="0"/>
    <x v="0"/>
    <x v="3"/>
    <n v="20.18"/>
    <x v="7"/>
    <n v="4.0359999999999996"/>
    <x v="539"/>
    <x v="77"/>
    <x v="280"/>
    <x v="2"/>
    <x v="539"/>
    <n v="4.7619047620000003"/>
    <n v="4.0359999999999996"/>
    <n v="5"/>
  </r>
  <r>
    <x v="543"/>
    <x v="1"/>
    <x v="1"/>
    <x v="0"/>
    <x v="1"/>
    <x v="1"/>
    <n v="18.77"/>
    <x v="3"/>
    <n v="5.6310000000000002"/>
    <x v="540"/>
    <x v="26"/>
    <x v="122"/>
    <x v="2"/>
    <x v="540"/>
    <n v="4.7619047620000003"/>
    <n v="5.6310000000000002"/>
    <n v="5.5"/>
  </r>
  <r>
    <x v="544"/>
    <x v="2"/>
    <x v="2"/>
    <x v="1"/>
    <x v="0"/>
    <x v="4"/>
    <n v="71.2"/>
    <x v="8"/>
    <n v="3.56"/>
    <x v="541"/>
    <x v="0"/>
    <x v="364"/>
    <x v="2"/>
    <x v="541"/>
    <n v="4.7619047620000003"/>
    <n v="3.56"/>
    <n v="9.1999999999999993"/>
  </r>
  <r>
    <x v="545"/>
    <x v="2"/>
    <x v="2"/>
    <x v="0"/>
    <x v="1"/>
    <x v="2"/>
    <n v="38.81"/>
    <x v="7"/>
    <n v="7.7619999999999996"/>
    <x v="542"/>
    <x v="35"/>
    <x v="61"/>
    <x v="0"/>
    <x v="542"/>
    <n v="4.7619047620000003"/>
    <n v="7.7619999999999996"/>
    <n v="4.9000000000000004"/>
  </r>
  <r>
    <x v="546"/>
    <x v="0"/>
    <x v="0"/>
    <x v="1"/>
    <x v="0"/>
    <x v="5"/>
    <n v="29.42"/>
    <x v="4"/>
    <n v="14.71"/>
    <x v="543"/>
    <x v="52"/>
    <x v="293"/>
    <x v="0"/>
    <x v="543"/>
    <n v="4.7619047620000003"/>
    <n v="14.71"/>
    <n v="8.9"/>
  </r>
  <r>
    <x v="547"/>
    <x v="0"/>
    <x v="0"/>
    <x v="1"/>
    <x v="1"/>
    <x v="3"/>
    <n v="60.95"/>
    <x v="9"/>
    <n v="27.427499999999998"/>
    <x v="544"/>
    <x v="27"/>
    <x v="365"/>
    <x v="2"/>
    <x v="544"/>
    <n v="4.7619047620000003"/>
    <n v="27.427499999999998"/>
    <n v="6"/>
  </r>
  <r>
    <x v="548"/>
    <x v="2"/>
    <x v="2"/>
    <x v="1"/>
    <x v="0"/>
    <x v="3"/>
    <n v="51.54"/>
    <x v="1"/>
    <n v="12.885"/>
    <x v="545"/>
    <x v="53"/>
    <x v="366"/>
    <x v="1"/>
    <x v="545"/>
    <n v="4.7619047620000003"/>
    <n v="12.885"/>
    <n v="4.2"/>
  </r>
  <r>
    <x v="549"/>
    <x v="0"/>
    <x v="0"/>
    <x v="1"/>
    <x v="0"/>
    <x v="1"/>
    <n v="66.06"/>
    <x v="3"/>
    <n v="19.818000000000001"/>
    <x v="546"/>
    <x v="54"/>
    <x v="367"/>
    <x v="1"/>
    <x v="546"/>
    <n v="4.7619047620000003"/>
    <n v="19.818000000000001"/>
    <n v="7.3"/>
  </r>
  <r>
    <x v="550"/>
    <x v="2"/>
    <x v="2"/>
    <x v="1"/>
    <x v="1"/>
    <x v="5"/>
    <n v="57.27"/>
    <x v="6"/>
    <n v="8.5905000000000005"/>
    <x v="547"/>
    <x v="57"/>
    <x v="106"/>
    <x v="0"/>
    <x v="547"/>
    <n v="4.7619047620000003"/>
    <n v="8.5905000000000005"/>
    <n v="6.5"/>
  </r>
  <r>
    <x v="551"/>
    <x v="2"/>
    <x v="2"/>
    <x v="1"/>
    <x v="0"/>
    <x v="5"/>
    <n v="54.31"/>
    <x v="9"/>
    <n v="24.439499999999999"/>
    <x v="548"/>
    <x v="70"/>
    <x v="368"/>
    <x v="1"/>
    <x v="548"/>
    <n v="4.7619047620000003"/>
    <n v="24.439499999999999"/>
    <n v="8.9"/>
  </r>
  <r>
    <x v="552"/>
    <x v="2"/>
    <x v="2"/>
    <x v="1"/>
    <x v="0"/>
    <x v="0"/>
    <n v="58.24"/>
    <x v="9"/>
    <n v="26.207999999999998"/>
    <x v="549"/>
    <x v="63"/>
    <x v="369"/>
    <x v="1"/>
    <x v="549"/>
    <n v="4.7619047620000003"/>
    <n v="26.207999999999998"/>
    <n v="9.6999999999999993"/>
  </r>
  <r>
    <x v="553"/>
    <x v="1"/>
    <x v="1"/>
    <x v="1"/>
    <x v="1"/>
    <x v="1"/>
    <n v="22.21"/>
    <x v="3"/>
    <n v="6.6630000000000003"/>
    <x v="550"/>
    <x v="37"/>
    <x v="81"/>
    <x v="2"/>
    <x v="550"/>
    <n v="4.7619047620000003"/>
    <n v="6.6630000000000003"/>
    <n v="8.6"/>
  </r>
  <r>
    <x v="554"/>
    <x v="0"/>
    <x v="0"/>
    <x v="0"/>
    <x v="1"/>
    <x v="1"/>
    <n v="19.32"/>
    <x v="0"/>
    <n v="6.7619999999999996"/>
    <x v="551"/>
    <x v="5"/>
    <x v="370"/>
    <x v="1"/>
    <x v="551"/>
    <n v="4.7619047620000003"/>
    <n v="6.7619999999999996"/>
    <n v="6.9"/>
  </r>
  <r>
    <x v="555"/>
    <x v="2"/>
    <x v="2"/>
    <x v="1"/>
    <x v="1"/>
    <x v="2"/>
    <n v="37.479999999999997"/>
    <x v="6"/>
    <n v="5.6219999999999999"/>
    <x v="552"/>
    <x v="40"/>
    <x v="286"/>
    <x v="2"/>
    <x v="552"/>
    <n v="4.7619047620000003"/>
    <n v="5.6219999999999999"/>
    <n v="7.7"/>
  </r>
  <r>
    <x v="556"/>
    <x v="2"/>
    <x v="2"/>
    <x v="0"/>
    <x v="0"/>
    <x v="5"/>
    <n v="72.040000000000006"/>
    <x v="5"/>
    <n v="7.2039999999999997"/>
    <x v="553"/>
    <x v="87"/>
    <x v="371"/>
    <x v="1"/>
    <x v="553"/>
    <n v="4.7619047620000003"/>
    <n v="7.2039999999999997"/>
    <n v="9.5"/>
  </r>
  <r>
    <x v="557"/>
    <x v="1"/>
    <x v="1"/>
    <x v="0"/>
    <x v="0"/>
    <x v="4"/>
    <n v="98.52"/>
    <x v="4"/>
    <n v="49.26"/>
    <x v="554"/>
    <x v="74"/>
    <x v="169"/>
    <x v="0"/>
    <x v="554"/>
    <n v="4.7619047620000003"/>
    <n v="49.26"/>
    <n v="4.5"/>
  </r>
  <r>
    <x v="558"/>
    <x v="0"/>
    <x v="0"/>
    <x v="0"/>
    <x v="1"/>
    <x v="4"/>
    <n v="41.66"/>
    <x v="3"/>
    <n v="12.497999999999999"/>
    <x v="555"/>
    <x v="56"/>
    <x v="145"/>
    <x v="0"/>
    <x v="555"/>
    <n v="4.7619047620000003"/>
    <n v="12.497999999999999"/>
    <n v="5.6"/>
  </r>
  <r>
    <x v="559"/>
    <x v="0"/>
    <x v="0"/>
    <x v="0"/>
    <x v="0"/>
    <x v="2"/>
    <n v="72.42"/>
    <x v="6"/>
    <n v="10.863"/>
    <x v="556"/>
    <x v="14"/>
    <x v="336"/>
    <x v="0"/>
    <x v="556"/>
    <n v="4.7619047620000003"/>
    <n v="10.863"/>
    <n v="8.1999999999999993"/>
  </r>
  <r>
    <x v="560"/>
    <x v="2"/>
    <x v="2"/>
    <x v="1"/>
    <x v="1"/>
    <x v="1"/>
    <n v="21.58"/>
    <x v="9"/>
    <n v="9.7110000000000003"/>
    <x v="557"/>
    <x v="86"/>
    <x v="372"/>
    <x v="1"/>
    <x v="557"/>
    <n v="4.7619047620000003"/>
    <n v="9.7110000000000003"/>
    <n v="7.3"/>
  </r>
  <r>
    <x v="561"/>
    <x v="1"/>
    <x v="1"/>
    <x v="1"/>
    <x v="1"/>
    <x v="4"/>
    <n v="89.2"/>
    <x v="4"/>
    <n v="44.6"/>
    <x v="558"/>
    <x v="48"/>
    <x v="324"/>
    <x v="2"/>
    <x v="558"/>
    <n v="4.7619047620000003"/>
    <n v="44.6"/>
    <n v="4.4000000000000004"/>
  </r>
  <r>
    <x v="562"/>
    <x v="2"/>
    <x v="2"/>
    <x v="1"/>
    <x v="0"/>
    <x v="1"/>
    <n v="42.42"/>
    <x v="2"/>
    <n v="16.968"/>
    <x v="559"/>
    <x v="74"/>
    <x v="139"/>
    <x v="0"/>
    <x v="559"/>
    <n v="4.7619047620000003"/>
    <n v="16.968"/>
    <n v="5.7"/>
  </r>
  <r>
    <x v="563"/>
    <x v="0"/>
    <x v="0"/>
    <x v="0"/>
    <x v="1"/>
    <x v="1"/>
    <n v="74.510000000000005"/>
    <x v="3"/>
    <n v="22.353000000000002"/>
    <x v="560"/>
    <x v="80"/>
    <x v="264"/>
    <x v="0"/>
    <x v="560"/>
    <n v="4.7619047620000003"/>
    <n v="22.353000000000002"/>
    <n v="5"/>
  </r>
  <r>
    <x v="564"/>
    <x v="2"/>
    <x v="2"/>
    <x v="1"/>
    <x v="1"/>
    <x v="5"/>
    <n v="99.25"/>
    <x v="5"/>
    <n v="9.9250000000000007"/>
    <x v="561"/>
    <x v="80"/>
    <x v="276"/>
    <x v="1"/>
    <x v="561"/>
    <n v="4.7619047620000003"/>
    <n v="9.9250000000000007"/>
    <n v="9"/>
  </r>
  <r>
    <x v="565"/>
    <x v="0"/>
    <x v="0"/>
    <x v="1"/>
    <x v="0"/>
    <x v="4"/>
    <n v="81.209999999999994"/>
    <x v="4"/>
    <n v="40.604999999999997"/>
    <x v="562"/>
    <x v="29"/>
    <x v="39"/>
    <x v="2"/>
    <x v="562"/>
    <n v="4.7619047620000003"/>
    <n v="40.604999999999997"/>
    <n v="6.3"/>
  </r>
  <r>
    <x v="566"/>
    <x v="1"/>
    <x v="1"/>
    <x v="1"/>
    <x v="0"/>
    <x v="3"/>
    <n v="49.33"/>
    <x v="4"/>
    <n v="24.664999999999999"/>
    <x v="563"/>
    <x v="36"/>
    <x v="64"/>
    <x v="2"/>
    <x v="563"/>
    <n v="4.7619047620000003"/>
    <n v="24.664999999999999"/>
    <n v="9.4"/>
  </r>
  <r>
    <x v="567"/>
    <x v="0"/>
    <x v="0"/>
    <x v="1"/>
    <x v="0"/>
    <x v="5"/>
    <n v="65.739999999999995"/>
    <x v="9"/>
    <n v="29.582999999999998"/>
    <x v="564"/>
    <x v="17"/>
    <x v="353"/>
    <x v="1"/>
    <x v="564"/>
    <n v="4.7619047620000003"/>
    <n v="29.582999999999998"/>
    <n v="7.7"/>
  </r>
  <r>
    <x v="568"/>
    <x v="2"/>
    <x v="2"/>
    <x v="1"/>
    <x v="0"/>
    <x v="5"/>
    <n v="79.86"/>
    <x v="0"/>
    <n v="27.951000000000001"/>
    <x v="565"/>
    <x v="8"/>
    <x v="373"/>
    <x v="2"/>
    <x v="565"/>
    <n v="4.7619047620000003"/>
    <n v="27.951000000000001"/>
    <n v="5.5"/>
  </r>
  <r>
    <x v="569"/>
    <x v="1"/>
    <x v="1"/>
    <x v="1"/>
    <x v="0"/>
    <x v="3"/>
    <n v="73.98"/>
    <x v="0"/>
    <n v="25.893000000000001"/>
    <x v="566"/>
    <x v="22"/>
    <x v="86"/>
    <x v="0"/>
    <x v="566"/>
    <n v="4.7619047620000003"/>
    <n v="25.893000000000001"/>
    <n v="4.0999999999999996"/>
  </r>
  <r>
    <x v="570"/>
    <x v="2"/>
    <x v="2"/>
    <x v="0"/>
    <x v="0"/>
    <x v="2"/>
    <n v="82.04"/>
    <x v="1"/>
    <n v="20.51"/>
    <x v="567"/>
    <x v="6"/>
    <x v="361"/>
    <x v="2"/>
    <x v="567"/>
    <n v="4.7619047620000003"/>
    <n v="20.51"/>
    <n v="7.6"/>
  </r>
  <r>
    <x v="571"/>
    <x v="2"/>
    <x v="2"/>
    <x v="0"/>
    <x v="1"/>
    <x v="3"/>
    <n v="26.67"/>
    <x v="4"/>
    <n v="13.335000000000001"/>
    <x v="568"/>
    <x v="71"/>
    <x v="340"/>
    <x v="1"/>
    <x v="568"/>
    <n v="4.7619047620000003"/>
    <n v="13.335000000000001"/>
    <n v="8.6"/>
  </r>
  <r>
    <x v="572"/>
    <x v="0"/>
    <x v="0"/>
    <x v="0"/>
    <x v="1"/>
    <x v="4"/>
    <n v="10.130000000000001"/>
    <x v="0"/>
    <n v="3.5455000000000001"/>
    <x v="569"/>
    <x v="24"/>
    <x v="323"/>
    <x v="0"/>
    <x v="569"/>
    <n v="4.7619047620000003"/>
    <n v="3.5455000000000001"/>
    <n v="8.3000000000000007"/>
  </r>
  <r>
    <x v="573"/>
    <x v="2"/>
    <x v="2"/>
    <x v="1"/>
    <x v="1"/>
    <x v="4"/>
    <n v="72.39"/>
    <x v="5"/>
    <n v="7.2389999999999999"/>
    <x v="570"/>
    <x v="50"/>
    <x v="374"/>
    <x v="2"/>
    <x v="570"/>
    <n v="4.7619047620000003"/>
    <n v="7.2389999999999999"/>
    <n v="8.1"/>
  </r>
  <r>
    <x v="574"/>
    <x v="0"/>
    <x v="0"/>
    <x v="1"/>
    <x v="1"/>
    <x v="3"/>
    <n v="85.91"/>
    <x v="1"/>
    <n v="21.477499999999999"/>
    <x v="571"/>
    <x v="23"/>
    <x v="375"/>
    <x v="2"/>
    <x v="571"/>
    <n v="4.7619047620000003"/>
    <n v="21.477499999999999"/>
    <n v="8.6"/>
  </r>
  <r>
    <x v="575"/>
    <x v="2"/>
    <x v="2"/>
    <x v="0"/>
    <x v="1"/>
    <x v="5"/>
    <n v="81.31"/>
    <x v="0"/>
    <n v="28.458500000000001"/>
    <x v="572"/>
    <x v="59"/>
    <x v="349"/>
    <x v="0"/>
    <x v="572"/>
    <n v="4.7619047620000003"/>
    <n v="28.458500000000001"/>
    <n v="6.3"/>
  </r>
  <r>
    <x v="576"/>
    <x v="2"/>
    <x v="2"/>
    <x v="1"/>
    <x v="1"/>
    <x v="4"/>
    <n v="60.3"/>
    <x v="7"/>
    <n v="12.06"/>
    <x v="573"/>
    <x v="9"/>
    <x v="362"/>
    <x v="1"/>
    <x v="573"/>
    <n v="4.7619047620000003"/>
    <n v="12.06"/>
    <n v="5.8"/>
  </r>
  <r>
    <x v="577"/>
    <x v="1"/>
    <x v="1"/>
    <x v="1"/>
    <x v="1"/>
    <x v="4"/>
    <n v="31.77"/>
    <x v="7"/>
    <n v="6.3540000000000001"/>
    <x v="574"/>
    <x v="78"/>
    <x v="140"/>
    <x v="0"/>
    <x v="574"/>
    <n v="4.7619047620000003"/>
    <n v="6.3540000000000001"/>
    <n v="6.2"/>
  </r>
  <r>
    <x v="578"/>
    <x v="0"/>
    <x v="0"/>
    <x v="1"/>
    <x v="0"/>
    <x v="0"/>
    <n v="64.27"/>
    <x v="7"/>
    <n v="12.853999999999999"/>
    <x v="575"/>
    <x v="58"/>
    <x v="376"/>
    <x v="1"/>
    <x v="575"/>
    <n v="4.7619047620000003"/>
    <n v="12.853999999999999"/>
    <n v="7.7"/>
  </r>
  <r>
    <x v="579"/>
    <x v="2"/>
    <x v="2"/>
    <x v="1"/>
    <x v="1"/>
    <x v="0"/>
    <n v="69.510000000000005"/>
    <x v="5"/>
    <n v="6.9509999999999996"/>
    <x v="576"/>
    <x v="59"/>
    <x v="377"/>
    <x v="0"/>
    <x v="576"/>
    <n v="4.7619047620000003"/>
    <n v="6.9509999999999996"/>
    <n v="8.1"/>
  </r>
  <r>
    <x v="580"/>
    <x v="1"/>
    <x v="1"/>
    <x v="1"/>
    <x v="1"/>
    <x v="4"/>
    <n v="27.22"/>
    <x v="6"/>
    <n v="4.0830000000000002"/>
    <x v="577"/>
    <x v="27"/>
    <x v="378"/>
    <x v="1"/>
    <x v="577"/>
    <n v="4.7619047620000003"/>
    <n v="4.0830000000000002"/>
    <n v="7.3"/>
  </r>
  <r>
    <x v="581"/>
    <x v="0"/>
    <x v="0"/>
    <x v="0"/>
    <x v="0"/>
    <x v="0"/>
    <n v="77.680000000000007"/>
    <x v="7"/>
    <n v="15.536"/>
    <x v="578"/>
    <x v="60"/>
    <x v="85"/>
    <x v="1"/>
    <x v="578"/>
    <n v="4.7619047620000003"/>
    <n v="15.536"/>
    <n v="8.4"/>
  </r>
  <r>
    <x v="582"/>
    <x v="1"/>
    <x v="1"/>
    <x v="0"/>
    <x v="0"/>
    <x v="5"/>
    <n v="92.98"/>
    <x v="5"/>
    <n v="9.298"/>
    <x v="579"/>
    <x v="77"/>
    <x v="379"/>
    <x v="2"/>
    <x v="579"/>
    <n v="4.7619047620000003"/>
    <n v="9.298"/>
    <n v="8"/>
  </r>
  <r>
    <x v="583"/>
    <x v="2"/>
    <x v="2"/>
    <x v="0"/>
    <x v="0"/>
    <x v="5"/>
    <n v="18.079999999999998"/>
    <x v="7"/>
    <n v="3.6160000000000001"/>
    <x v="580"/>
    <x v="78"/>
    <x v="172"/>
    <x v="2"/>
    <x v="580"/>
    <n v="4.7619047620000003"/>
    <n v="3.6160000000000001"/>
    <n v="9.5"/>
  </r>
  <r>
    <x v="584"/>
    <x v="2"/>
    <x v="2"/>
    <x v="1"/>
    <x v="1"/>
    <x v="3"/>
    <n v="63.06"/>
    <x v="6"/>
    <n v="9.4589999999999996"/>
    <x v="581"/>
    <x v="64"/>
    <x v="380"/>
    <x v="0"/>
    <x v="581"/>
    <n v="4.7619047620000003"/>
    <n v="9.4589999999999996"/>
    <n v="7"/>
  </r>
  <r>
    <x v="585"/>
    <x v="0"/>
    <x v="0"/>
    <x v="1"/>
    <x v="1"/>
    <x v="0"/>
    <n v="51.71"/>
    <x v="7"/>
    <n v="10.342000000000001"/>
    <x v="582"/>
    <x v="11"/>
    <x v="318"/>
    <x v="2"/>
    <x v="582"/>
    <n v="4.7619047620000003"/>
    <n v="10.342000000000001"/>
    <n v="9.8000000000000007"/>
  </r>
  <r>
    <x v="586"/>
    <x v="0"/>
    <x v="0"/>
    <x v="1"/>
    <x v="0"/>
    <x v="4"/>
    <n v="52.34"/>
    <x v="6"/>
    <n v="7.851"/>
    <x v="583"/>
    <x v="39"/>
    <x v="381"/>
    <x v="1"/>
    <x v="583"/>
    <n v="4.7619047620000003"/>
    <n v="7.851"/>
    <n v="9.1999999999999993"/>
  </r>
  <r>
    <x v="587"/>
    <x v="0"/>
    <x v="0"/>
    <x v="1"/>
    <x v="0"/>
    <x v="3"/>
    <n v="43.06"/>
    <x v="1"/>
    <n v="10.765000000000001"/>
    <x v="584"/>
    <x v="87"/>
    <x v="382"/>
    <x v="0"/>
    <x v="584"/>
    <n v="4.7619047620000003"/>
    <n v="10.765000000000001"/>
    <n v="7.7"/>
  </r>
  <r>
    <x v="588"/>
    <x v="1"/>
    <x v="1"/>
    <x v="1"/>
    <x v="1"/>
    <x v="5"/>
    <n v="59.61"/>
    <x v="4"/>
    <n v="29.805"/>
    <x v="585"/>
    <x v="86"/>
    <x v="383"/>
    <x v="1"/>
    <x v="585"/>
    <n v="4.7619047620000003"/>
    <n v="29.805"/>
    <n v="5.3"/>
  </r>
  <r>
    <x v="589"/>
    <x v="0"/>
    <x v="0"/>
    <x v="1"/>
    <x v="1"/>
    <x v="0"/>
    <n v="14.62"/>
    <x v="1"/>
    <n v="3.6549999999999998"/>
    <x v="586"/>
    <x v="31"/>
    <x v="384"/>
    <x v="1"/>
    <x v="586"/>
    <n v="4.7619047620000003"/>
    <n v="3.6549999999999998"/>
    <n v="4.4000000000000004"/>
  </r>
  <r>
    <x v="590"/>
    <x v="1"/>
    <x v="1"/>
    <x v="0"/>
    <x v="1"/>
    <x v="0"/>
    <n v="46.53"/>
    <x v="3"/>
    <n v="13.959"/>
    <x v="587"/>
    <x v="2"/>
    <x v="200"/>
    <x v="2"/>
    <x v="587"/>
    <n v="4.7619047620000003"/>
    <n v="13.959"/>
    <n v="4.3"/>
  </r>
  <r>
    <x v="591"/>
    <x v="1"/>
    <x v="1"/>
    <x v="0"/>
    <x v="0"/>
    <x v="2"/>
    <n v="24.24"/>
    <x v="0"/>
    <n v="8.484"/>
    <x v="588"/>
    <x v="3"/>
    <x v="180"/>
    <x v="0"/>
    <x v="588"/>
    <n v="4.7619047620000003"/>
    <n v="8.484"/>
    <n v="9.4"/>
  </r>
  <r>
    <x v="592"/>
    <x v="0"/>
    <x v="0"/>
    <x v="0"/>
    <x v="0"/>
    <x v="3"/>
    <n v="45.58"/>
    <x v="8"/>
    <n v="2.2789999999999999"/>
    <x v="589"/>
    <x v="13"/>
    <x v="385"/>
    <x v="1"/>
    <x v="589"/>
    <n v="4.7619047620000003"/>
    <n v="2.2789999999999999"/>
    <n v="9.8000000000000007"/>
  </r>
  <r>
    <x v="593"/>
    <x v="0"/>
    <x v="0"/>
    <x v="0"/>
    <x v="0"/>
    <x v="3"/>
    <n v="75.2"/>
    <x v="6"/>
    <n v="11.28"/>
    <x v="590"/>
    <x v="63"/>
    <x v="159"/>
    <x v="0"/>
    <x v="590"/>
    <n v="4.7619047620000003"/>
    <n v="11.28"/>
    <n v="4.8"/>
  </r>
  <r>
    <x v="594"/>
    <x v="2"/>
    <x v="2"/>
    <x v="0"/>
    <x v="1"/>
    <x v="3"/>
    <n v="96.8"/>
    <x v="6"/>
    <n v="14.52"/>
    <x v="591"/>
    <x v="20"/>
    <x v="137"/>
    <x v="1"/>
    <x v="591"/>
    <n v="4.7619047620000003"/>
    <n v="14.52"/>
    <n v="5.3"/>
  </r>
  <r>
    <x v="595"/>
    <x v="2"/>
    <x v="2"/>
    <x v="1"/>
    <x v="1"/>
    <x v="0"/>
    <n v="14.82"/>
    <x v="6"/>
    <n v="2.2229999999999999"/>
    <x v="592"/>
    <x v="59"/>
    <x v="170"/>
    <x v="2"/>
    <x v="592"/>
    <n v="4.7619047620000003"/>
    <n v="2.2229999999999999"/>
    <n v="8.6999999999999993"/>
  </r>
  <r>
    <x v="596"/>
    <x v="0"/>
    <x v="0"/>
    <x v="1"/>
    <x v="1"/>
    <x v="4"/>
    <n v="52.2"/>
    <x v="6"/>
    <n v="7.83"/>
    <x v="593"/>
    <x v="42"/>
    <x v="241"/>
    <x v="2"/>
    <x v="593"/>
    <n v="4.7619047620000003"/>
    <n v="7.83"/>
    <n v="9.5"/>
  </r>
  <r>
    <x v="597"/>
    <x v="1"/>
    <x v="1"/>
    <x v="1"/>
    <x v="0"/>
    <x v="3"/>
    <n v="46.66"/>
    <x v="9"/>
    <n v="20.997"/>
    <x v="594"/>
    <x v="21"/>
    <x v="386"/>
    <x v="0"/>
    <x v="594"/>
    <n v="4.7619047620000003"/>
    <n v="20.997"/>
    <n v="5.3"/>
  </r>
  <r>
    <x v="598"/>
    <x v="1"/>
    <x v="1"/>
    <x v="1"/>
    <x v="0"/>
    <x v="5"/>
    <n v="36.85"/>
    <x v="1"/>
    <n v="9.2125000000000004"/>
    <x v="595"/>
    <x v="53"/>
    <x v="387"/>
    <x v="1"/>
    <x v="595"/>
    <n v="4.7619047620000003"/>
    <n v="9.2125000000000004"/>
    <n v="9.1999999999999993"/>
  </r>
  <r>
    <x v="599"/>
    <x v="0"/>
    <x v="0"/>
    <x v="0"/>
    <x v="0"/>
    <x v="2"/>
    <n v="70.319999999999993"/>
    <x v="5"/>
    <n v="7.032"/>
    <x v="596"/>
    <x v="62"/>
    <x v="388"/>
    <x v="0"/>
    <x v="596"/>
    <n v="4.7619047620000003"/>
    <n v="7.032"/>
    <n v="9.6"/>
  </r>
  <r>
    <x v="600"/>
    <x v="1"/>
    <x v="1"/>
    <x v="1"/>
    <x v="1"/>
    <x v="1"/>
    <n v="83.08"/>
    <x v="8"/>
    <n v="4.1539999999999999"/>
    <x v="451"/>
    <x v="54"/>
    <x v="361"/>
    <x v="0"/>
    <x v="451"/>
    <n v="4.7619047620000003"/>
    <n v="4.1539999999999999"/>
    <n v="6.4"/>
  </r>
  <r>
    <x v="601"/>
    <x v="1"/>
    <x v="1"/>
    <x v="1"/>
    <x v="0"/>
    <x v="5"/>
    <n v="64.989999999999995"/>
    <x v="8"/>
    <n v="3.2494999999999998"/>
    <x v="597"/>
    <x v="53"/>
    <x v="389"/>
    <x v="2"/>
    <x v="597"/>
    <n v="4.7619047620000003"/>
    <n v="3.2494999999999998"/>
    <n v="4.5"/>
  </r>
  <r>
    <x v="602"/>
    <x v="1"/>
    <x v="1"/>
    <x v="1"/>
    <x v="1"/>
    <x v="4"/>
    <n v="77.56"/>
    <x v="4"/>
    <n v="38.78"/>
    <x v="598"/>
    <x v="86"/>
    <x v="82"/>
    <x v="0"/>
    <x v="598"/>
    <n v="4.7619047620000003"/>
    <n v="38.78"/>
    <n v="6.9"/>
  </r>
  <r>
    <x v="603"/>
    <x v="2"/>
    <x v="2"/>
    <x v="1"/>
    <x v="0"/>
    <x v="3"/>
    <n v="54.51"/>
    <x v="3"/>
    <n v="16.353000000000002"/>
    <x v="599"/>
    <x v="85"/>
    <x v="376"/>
    <x v="0"/>
    <x v="599"/>
    <n v="4.7619047620000003"/>
    <n v="16.353000000000002"/>
    <n v="7.8"/>
  </r>
  <r>
    <x v="604"/>
    <x v="1"/>
    <x v="1"/>
    <x v="0"/>
    <x v="0"/>
    <x v="5"/>
    <n v="51.89"/>
    <x v="0"/>
    <n v="18.1615"/>
    <x v="600"/>
    <x v="66"/>
    <x v="390"/>
    <x v="1"/>
    <x v="600"/>
    <n v="4.7619047620000003"/>
    <n v="18.1615"/>
    <n v="4.5"/>
  </r>
  <r>
    <x v="605"/>
    <x v="2"/>
    <x v="2"/>
    <x v="1"/>
    <x v="1"/>
    <x v="2"/>
    <n v="31.75"/>
    <x v="7"/>
    <n v="6.35"/>
    <x v="601"/>
    <x v="4"/>
    <x v="108"/>
    <x v="1"/>
    <x v="601"/>
    <n v="4.7619047620000003"/>
    <n v="6.35"/>
    <n v="8.6"/>
  </r>
  <r>
    <x v="606"/>
    <x v="0"/>
    <x v="0"/>
    <x v="0"/>
    <x v="0"/>
    <x v="5"/>
    <n v="53.65"/>
    <x v="0"/>
    <n v="18.7775"/>
    <x v="602"/>
    <x v="34"/>
    <x v="391"/>
    <x v="0"/>
    <x v="602"/>
    <n v="4.7619047620000003"/>
    <n v="18.7775"/>
    <n v="5.2"/>
  </r>
  <r>
    <x v="607"/>
    <x v="1"/>
    <x v="1"/>
    <x v="0"/>
    <x v="0"/>
    <x v="4"/>
    <n v="49.79"/>
    <x v="7"/>
    <n v="9.9580000000000002"/>
    <x v="603"/>
    <x v="61"/>
    <x v="156"/>
    <x v="2"/>
    <x v="603"/>
    <n v="4.7619047620000003"/>
    <n v="9.9580000000000002"/>
    <n v="6.4"/>
  </r>
  <r>
    <x v="608"/>
    <x v="0"/>
    <x v="0"/>
    <x v="1"/>
    <x v="1"/>
    <x v="5"/>
    <n v="30.61"/>
    <x v="8"/>
    <n v="1.5305"/>
    <x v="604"/>
    <x v="54"/>
    <x v="22"/>
    <x v="0"/>
    <x v="604"/>
    <n v="4.7619047620000003"/>
    <n v="1.5305"/>
    <n v="5.2"/>
  </r>
  <r>
    <x v="609"/>
    <x v="2"/>
    <x v="2"/>
    <x v="0"/>
    <x v="1"/>
    <x v="4"/>
    <n v="57.89"/>
    <x v="5"/>
    <n v="5.7889999999999997"/>
    <x v="605"/>
    <x v="29"/>
    <x v="4"/>
    <x v="0"/>
    <x v="605"/>
    <n v="4.7619047620000003"/>
    <n v="5.7889999999999997"/>
    <n v="8.9"/>
  </r>
  <r>
    <x v="610"/>
    <x v="0"/>
    <x v="0"/>
    <x v="1"/>
    <x v="0"/>
    <x v="1"/>
    <n v="28.96"/>
    <x v="8"/>
    <n v="1.448"/>
    <x v="606"/>
    <x v="13"/>
    <x v="392"/>
    <x v="2"/>
    <x v="606"/>
    <n v="4.7619047620000003"/>
    <n v="1.448"/>
    <n v="6.2"/>
  </r>
  <r>
    <x v="611"/>
    <x v="1"/>
    <x v="1"/>
    <x v="0"/>
    <x v="0"/>
    <x v="4"/>
    <n v="98.97"/>
    <x v="9"/>
    <n v="44.536499999999997"/>
    <x v="607"/>
    <x v="11"/>
    <x v="219"/>
    <x v="1"/>
    <x v="607"/>
    <n v="4.7619047620000003"/>
    <n v="44.536499999999997"/>
    <n v="6.7"/>
  </r>
  <r>
    <x v="612"/>
    <x v="2"/>
    <x v="2"/>
    <x v="0"/>
    <x v="1"/>
    <x v="5"/>
    <n v="93.22"/>
    <x v="6"/>
    <n v="13.983000000000001"/>
    <x v="608"/>
    <x v="46"/>
    <x v="393"/>
    <x v="1"/>
    <x v="608"/>
    <n v="4.7619047620000003"/>
    <n v="13.983000000000001"/>
    <n v="7.2"/>
  </r>
  <r>
    <x v="613"/>
    <x v="1"/>
    <x v="1"/>
    <x v="0"/>
    <x v="1"/>
    <x v="3"/>
    <n v="80.930000000000007"/>
    <x v="8"/>
    <n v="4.0465"/>
    <x v="609"/>
    <x v="64"/>
    <x v="394"/>
    <x v="2"/>
    <x v="609"/>
    <n v="4.7619047620000003"/>
    <n v="4.0465"/>
    <n v="9"/>
  </r>
  <r>
    <x v="614"/>
    <x v="0"/>
    <x v="0"/>
    <x v="0"/>
    <x v="1"/>
    <x v="4"/>
    <n v="67.45"/>
    <x v="4"/>
    <n v="33.725000000000001"/>
    <x v="610"/>
    <x v="36"/>
    <x v="210"/>
    <x v="0"/>
    <x v="610"/>
    <n v="4.7619047620000003"/>
    <n v="33.725000000000001"/>
    <n v="4.2"/>
  </r>
  <r>
    <x v="615"/>
    <x v="0"/>
    <x v="0"/>
    <x v="0"/>
    <x v="0"/>
    <x v="3"/>
    <n v="38.72"/>
    <x v="9"/>
    <n v="17.423999999999999"/>
    <x v="611"/>
    <x v="80"/>
    <x v="395"/>
    <x v="0"/>
    <x v="611"/>
    <n v="4.7619047620000003"/>
    <n v="17.423999999999999"/>
    <n v="4.2"/>
  </r>
  <r>
    <x v="616"/>
    <x v="2"/>
    <x v="2"/>
    <x v="0"/>
    <x v="1"/>
    <x v="3"/>
    <n v="72.599999999999994"/>
    <x v="3"/>
    <n v="21.78"/>
    <x v="612"/>
    <x v="50"/>
    <x v="396"/>
    <x v="1"/>
    <x v="612"/>
    <n v="4.7619047620000003"/>
    <n v="21.78"/>
    <n v="6.9"/>
  </r>
  <r>
    <x v="617"/>
    <x v="1"/>
    <x v="1"/>
    <x v="0"/>
    <x v="1"/>
    <x v="1"/>
    <n v="87.91"/>
    <x v="1"/>
    <n v="21.977499999999999"/>
    <x v="613"/>
    <x v="86"/>
    <x v="397"/>
    <x v="0"/>
    <x v="613"/>
    <n v="4.7619047620000003"/>
    <n v="21.977499999999999"/>
    <n v="4.4000000000000004"/>
  </r>
  <r>
    <x v="618"/>
    <x v="0"/>
    <x v="0"/>
    <x v="0"/>
    <x v="1"/>
    <x v="4"/>
    <n v="98.53"/>
    <x v="3"/>
    <n v="29.559000000000001"/>
    <x v="614"/>
    <x v="54"/>
    <x v="218"/>
    <x v="2"/>
    <x v="614"/>
    <n v="4.7619047620000003"/>
    <n v="29.559000000000001"/>
    <n v="4"/>
  </r>
  <r>
    <x v="619"/>
    <x v="1"/>
    <x v="1"/>
    <x v="0"/>
    <x v="0"/>
    <x v="5"/>
    <n v="43.46"/>
    <x v="3"/>
    <n v="13.038"/>
    <x v="615"/>
    <x v="13"/>
    <x v="84"/>
    <x v="0"/>
    <x v="615"/>
    <n v="4.7619047620000003"/>
    <n v="13.038"/>
    <n v="8.5"/>
  </r>
  <r>
    <x v="620"/>
    <x v="0"/>
    <x v="0"/>
    <x v="1"/>
    <x v="0"/>
    <x v="4"/>
    <n v="71.680000000000007"/>
    <x v="6"/>
    <n v="10.752000000000001"/>
    <x v="616"/>
    <x v="61"/>
    <x v="19"/>
    <x v="2"/>
    <x v="616"/>
    <n v="4.7619047620000003"/>
    <n v="10.752000000000001"/>
    <n v="9.1999999999999993"/>
  </r>
  <r>
    <x v="621"/>
    <x v="0"/>
    <x v="0"/>
    <x v="0"/>
    <x v="0"/>
    <x v="4"/>
    <n v="91.61"/>
    <x v="8"/>
    <n v="4.5804999999999998"/>
    <x v="617"/>
    <x v="80"/>
    <x v="143"/>
    <x v="1"/>
    <x v="617"/>
    <n v="4.7619047620000003"/>
    <n v="4.5804999999999998"/>
    <n v="9.8000000000000007"/>
  </r>
  <r>
    <x v="622"/>
    <x v="2"/>
    <x v="2"/>
    <x v="0"/>
    <x v="0"/>
    <x v="2"/>
    <n v="94.59"/>
    <x v="0"/>
    <n v="33.106499999999997"/>
    <x v="618"/>
    <x v="29"/>
    <x v="398"/>
    <x v="2"/>
    <x v="618"/>
    <n v="4.7619047620000003"/>
    <n v="33.106499999999997"/>
    <n v="4.9000000000000004"/>
  </r>
  <r>
    <x v="623"/>
    <x v="2"/>
    <x v="2"/>
    <x v="1"/>
    <x v="0"/>
    <x v="5"/>
    <n v="83.25"/>
    <x v="4"/>
    <n v="41.625"/>
    <x v="619"/>
    <x v="52"/>
    <x v="210"/>
    <x v="2"/>
    <x v="619"/>
    <n v="4.7619047620000003"/>
    <n v="41.625"/>
    <n v="4.4000000000000004"/>
  </r>
  <r>
    <x v="624"/>
    <x v="2"/>
    <x v="2"/>
    <x v="0"/>
    <x v="1"/>
    <x v="5"/>
    <n v="91.35"/>
    <x v="8"/>
    <n v="4.5674999999999999"/>
    <x v="620"/>
    <x v="69"/>
    <x v="324"/>
    <x v="1"/>
    <x v="620"/>
    <n v="4.7619047620000003"/>
    <n v="4.5674999999999999"/>
    <n v="6.8"/>
  </r>
  <r>
    <x v="625"/>
    <x v="2"/>
    <x v="2"/>
    <x v="0"/>
    <x v="0"/>
    <x v="4"/>
    <n v="78.88"/>
    <x v="5"/>
    <n v="7.8879999999999999"/>
    <x v="621"/>
    <x v="53"/>
    <x v="399"/>
    <x v="1"/>
    <x v="621"/>
    <n v="4.7619047620000003"/>
    <n v="7.8879999999999999"/>
    <n v="9.1"/>
  </r>
  <r>
    <x v="626"/>
    <x v="0"/>
    <x v="0"/>
    <x v="1"/>
    <x v="1"/>
    <x v="3"/>
    <n v="60.87"/>
    <x v="5"/>
    <n v="6.0869999999999997"/>
    <x v="622"/>
    <x v="11"/>
    <x v="378"/>
    <x v="0"/>
    <x v="622"/>
    <n v="4.7619047620000003"/>
    <n v="6.0869999999999997"/>
    <n v="8.6999999999999993"/>
  </r>
  <r>
    <x v="627"/>
    <x v="2"/>
    <x v="2"/>
    <x v="0"/>
    <x v="1"/>
    <x v="0"/>
    <n v="82.58"/>
    <x v="4"/>
    <n v="41.29"/>
    <x v="623"/>
    <x v="86"/>
    <x v="400"/>
    <x v="1"/>
    <x v="623"/>
    <n v="4.7619047620000003"/>
    <n v="41.29"/>
    <n v="5"/>
  </r>
  <r>
    <x v="628"/>
    <x v="0"/>
    <x v="0"/>
    <x v="0"/>
    <x v="1"/>
    <x v="2"/>
    <n v="53.3"/>
    <x v="6"/>
    <n v="7.9950000000000001"/>
    <x v="624"/>
    <x v="25"/>
    <x v="401"/>
    <x v="0"/>
    <x v="624"/>
    <n v="4.7619047620000003"/>
    <n v="7.9950000000000001"/>
    <n v="7.5"/>
  </r>
  <r>
    <x v="629"/>
    <x v="0"/>
    <x v="0"/>
    <x v="1"/>
    <x v="0"/>
    <x v="5"/>
    <n v="12.09"/>
    <x v="8"/>
    <n v="0.60450000000000004"/>
    <x v="625"/>
    <x v="53"/>
    <x v="96"/>
    <x v="2"/>
    <x v="625"/>
    <n v="4.7619047620000003"/>
    <n v="0.60450000000000004"/>
    <n v="8.1999999999999993"/>
  </r>
  <r>
    <x v="630"/>
    <x v="0"/>
    <x v="0"/>
    <x v="1"/>
    <x v="1"/>
    <x v="3"/>
    <n v="64.19"/>
    <x v="4"/>
    <n v="32.094999999999999"/>
    <x v="626"/>
    <x v="64"/>
    <x v="402"/>
    <x v="2"/>
    <x v="626"/>
    <n v="4.7619047620000003"/>
    <n v="32.094999999999999"/>
    <n v="6.7"/>
  </r>
  <r>
    <x v="631"/>
    <x v="0"/>
    <x v="0"/>
    <x v="1"/>
    <x v="1"/>
    <x v="1"/>
    <n v="78.31"/>
    <x v="6"/>
    <n v="11.746499999999999"/>
    <x v="627"/>
    <x v="19"/>
    <x v="382"/>
    <x v="0"/>
    <x v="627"/>
    <n v="4.7619047620000003"/>
    <n v="11.746499999999999"/>
    <n v="5.4"/>
  </r>
  <r>
    <x v="632"/>
    <x v="0"/>
    <x v="0"/>
    <x v="0"/>
    <x v="1"/>
    <x v="4"/>
    <n v="83.77"/>
    <x v="5"/>
    <n v="8.3770000000000007"/>
    <x v="628"/>
    <x v="15"/>
    <x v="200"/>
    <x v="2"/>
    <x v="628"/>
    <n v="4.7619047620000003"/>
    <n v="8.3770000000000007"/>
    <n v="7"/>
  </r>
  <r>
    <x v="633"/>
    <x v="2"/>
    <x v="2"/>
    <x v="1"/>
    <x v="1"/>
    <x v="2"/>
    <n v="99.7"/>
    <x v="6"/>
    <n v="14.955"/>
    <x v="629"/>
    <x v="79"/>
    <x v="403"/>
    <x v="0"/>
    <x v="629"/>
    <n v="4.7619047620000003"/>
    <n v="14.955"/>
    <n v="4.7"/>
  </r>
  <r>
    <x v="634"/>
    <x v="2"/>
    <x v="2"/>
    <x v="0"/>
    <x v="1"/>
    <x v="4"/>
    <n v="79.91"/>
    <x v="6"/>
    <n v="11.986499999999999"/>
    <x v="630"/>
    <x v="80"/>
    <x v="198"/>
    <x v="2"/>
    <x v="630"/>
    <n v="4.7619047620000003"/>
    <n v="11.986499999999999"/>
    <n v="5"/>
  </r>
  <r>
    <x v="635"/>
    <x v="2"/>
    <x v="2"/>
    <x v="0"/>
    <x v="1"/>
    <x v="0"/>
    <n v="66.47"/>
    <x v="4"/>
    <n v="33.234999999999999"/>
    <x v="631"/>
    <x v="15"/>
    <x v="66"/>
    <x v="2"/>
    <x v="631"/>
    <n v="4.7619047620000003"/>
    <n v="33.234999999999999"/>
    <n v="5"/>
  </r>
  <r>
    <x v="636"/>
    <x v="0"/>
    <x v="0"/>
    <x v="1"/>
    <x v="1"/>
    <x v="0"/>
    <n v="28.95"/>
    <x v="0"/>
    <n v="10.1325"/>
    <x v="632"/>
    <x v="2"/>
    <x v="106"/>
    <x v="2"/>
    <x v="632"/>
    <n v="4.7619047620000003"/>
    <n v="10.1325"/>
    <n v="6"/>
  </r>
  <r>
    <x v="637"/>
    <x v="1"/>
    <x v="1"/>
    <x v="1"/>
    <x v="0"/>
    <x v="1"/>
    <n v="46.2"/>
    <x v="8"/>
    <n v="2.31"/>
    <x v="633"/>
    <x v="35"/>
    <x v="404"/>
    <x v="1"/>
    <x v="633"/>
    <n v="4.7619047620000003"/>
    <n v="2.31"/>
    <n v="6.3"/>
  </r>
  <r>
    <x v="638"/>
    <x v="2"/>
    <x v="2"/>
    <x v="0"/>
    <x v="0"/>
    <x v="4"/>
    <n v="17.63"/>
    <x v="1"/>
    <n v="4.4074999999999998"/>
    <x v="634"/>
    <x v="1"/>
    <x v="398"/>
    <x v="1"/>
    <x v="634"/>
    <n v="4.7619047620000003"/>
    <n v="4.4074999999999998"/>
    <n v="8.5"/>
  </r>
  <r>
    <x v="639"/>
    <x v="2"/>
    <x v="2"/>
    <x v="1"/>
    <x v="1"/>
    <x v="5"/>
    <n v="52.42"/>
    <x v="6"/>
    <n v="7.8630000000000004"/>
    <x v="635"/>
    <x v="33"/>
    <x v="24"/>
    <x v="0"/>
    <x v="635"/>
    <n v="4.7619047620000003"/>
    <n v="7.8630000000000004"/>
    <n v="7.5"/>
  </r>
  <r>
    <x v="640"/>
    <x v="2"/>
    <x v="2"/>
    <x v="0"/>
    <x v="0"/>
    <x v="4"/>
    <n v="98.79"/>
    <x v="6"/>
    <n v="14.8185"/>
    <x v="636"/>
    <x v="55"/>
    <x v="405"/>
    <x v="0"/>
    <x v="636"/>
    <n v="4.7619047620000003"/>
    <n v="14.8185"/>
    <n v="6.4"/>
  </r>
  <r>
    <x v="641"/>
    <x v="1"/>
    <x v="1"/>
    <x v="0"/>
    <x v="0"/>
    <x v="1"/>
    <n v="88.55"/>
    <x v="2"/>
    <n v="35.42"/>
    <x v="637"/>
    <x v="35"/>
    <x v="406"/>
    <x v="0"/>
    <x v="637"/>
    <n v="4.7619047620000003"/>
    <n v="35.42"/>
    <n v="4.7"/>
  </r>
  <r>
    <x v="642"/>
    <x v="2"/>
    <x v="2"/>
    <x v="0"/>
    <x v="1"/>
    <x v="1"/>
    <n v="55.67"/>
    <x v="5"/>
    <n v="5.5670000000000002"/>
    <x v="638"/>
    <x v="39"/>
    <x v="264"/>
    <x v="0"/>
    <x v="638"/>
    <n v="4.7619047620000003"/>
    <n v="5.5670000000000002"/>
    <n v="6"/>
  </r>
  <r>
    <x v="643"/>
    <x v="1"/>
    <x v="1"/>
    <x v="0"/>
    <x v="0"/>
    <x v="4"/>
    <n v="72.52"/>
    <x v="2"/>
    <n v="29.007999999999999"/>
    <x v="639"/>
    <x v="73"/>
    <x v="206"/>
    <x v="2"/>
    <x v="639"/>
    <n v="4.7619047620000003"/>
    <n v="29.007999999999999"/>
    <n v="4"/>
  </r>
  <r>
    <x v="644"/>
    <x v="1"/>
    <x v="1"/>
    <x v="0"/>
    <x v="1"/>
    <x v="1"/>
    <n v="12.05"/>
    <x v="1"/>
    <n v="3.0125000000000002"/>
    <x v="640"/>
    <x v="69"/>
    <x v="183"/>
    <x v="0"/>
    <x v="640"/>
    <n v="4.7619047620000003"/>
    <n v="3.0125000000000002"/>
    <n v="5.5"/>
  </r>
  <r>
    <x v="645"/>
    <x v="0"/>
    <x v="0"/>
    <x v="0"/>
    <x v="1"/>
    <x v="2"/>
    <n v="19.36"/>
    <x v="9"/>
    <n v="8.7119999999999997"/>
    <x v="641"/>
    <x v="68"/>
    <x v="362"/>
    <x v="0"/>
    <x v="641"/>
    <n v="4.7619047620000003"/>
    <n v="8.7119999999999997"/>
    <n v="8.6999999999999993"/>
  </r>
  <r>
    <x v="646"/>
    <x v="1"/>
    <x v="1"/>
    <x v="1"/>
    <x v="1"/>
    <x v="0"/>
    <n v="70.209999999999994"/>
    <x v="3"/>
    <n v="21.062999999999999"/>
    <x v="642"/>
    <x v="73"/>
    <x v="407"/>
    <x v="1"/>
    <x v="642"/>
    <n v="4.7619047620000003"/>
    <n v="21.062999999999999"/>
    <n v="7.4"/>
  </r>
  <r>
    <x v="647"/>
    <x v="2"/>
    <x v="2"/>
    <x v="0"/>
    <x v="1"/>
    <x v="5"/>
    <n v="33.630000000000003"/>
    <x v="8"/>
    <n v="1.6815"/>
    <x v="643"/>
    <x v="80"/>
    <x v="374"/>
    <x v="1"/>
    <x v="643"/>
    <n v="4.7619047620000003"/>
    <n v="1.6815"/>
    <n v="5.6"/>
  </r>
  <r>
    <x v="648"/>
    <x v="1"/>
    <x v="1"/>
    <x v="0"/>
    <x v="0"/>
    <x v="3"/>
    <n v="15.49"/>
    <x v="5"/>
    <n v="1.5489999999999999"/>
    <x v="644"/>
    <x v="65"/>
    <x v="50"/>
    <x v="1"/>
    <x v="644"/>
    <n v="4.7619047620000003"/>
    <n v="1.5489999999999999"/>
    <n v="6.3"/>
  </r>
  <r>
    <x v="649"/>
    <x v="1"/>
    <x v="1"/>
    <x v="1"/>
    <x v="1"/>
    <x v="1"/>
    <n v="24.74"/>
    <x v="4"/>
    <n v="12.37"/>
    <x v="645"/>
    <x v="7"/>
    <x v="95"/>
    <x v="1"/>
    <x v="645"/>
    <n v="4.7619047620000003"/>
    <n v="12.37"/>
    <n v="7.1"/>
  </r>
  <r>
    <x v="650"/>
    <x v="2"/>
    <x v="2"/>
    <x v="1"/>
    <x v="1"/>
    <x v="1"/>
    <n v="75.66"/>
    <x v="1"/>
    <n v="18.914999999999999"/>
    <x v="646"/>
    <x v="15"/>
    <x v="282"/>
    <x v="0"/>
    <x v="646"/>
    <n v="4.7619047620000003"/>
    <n v="18.914999999999999"/>
    <n v="7.8"/>
  </r>
  <r>
    <x v="651"/>
    <x v="2"/>
    <x v="2"/>
    <x v="1"/>
    <x v="0"/>
    <x v="0"/>
    <n v="55.81"/>
    <x v="3"/>
    <n v="16.742999999999999"/>
    <x v="647"/>
    <x v="49"/>
    <x v="408"/>
    <x v="1"/>
    <x v="647"/>
    <n v="4.7619047620000003"/>
    <n v="16.742999999999999"/>
    <n v="9.9"/>
  </r>
  <r>
    <x v="652"/>
    <x v="0"/>
    <x v="0"/>
    <x v="0"/>
    <x v="1"/>
    <x v="2"/>
    <n v="72.78"/>
    <x v="4"/>
    <n v="36.39"/>
    <x v="648"/>
    <x v="36"/>
    <x v="45"/>
    <x v="1"/>
    <x v="648"/>
    <n v="4.7619047620000003"/>
    <n v="36.39"/>
    <n v="7.3"/>
  </r>
  <r>
    <x v="653"/>
    <x v="2"/>
    <x v="2"/>
    <x v="0"/>
    <x v="1"/>
    <x v="3"/>
    <n v="37.32"/>
    <x v="9"/>
    <n v="16.794"/>
    <x v="649"/>
    <x v="43"/>
    <x v="26"/>
    <x v="0"/>
    <x v="649"/>
    <n v="4.7619047620000003"/>
    <n v="16.794"/>
    <n v="5.0999999999999996"/>
  </r>
  <r>
    <x v="654"/>
    <x v="2"/>
    <x v="2"/>
    <x v="0"/>
    <x v="1"/>
    <x v="5"/>
    <n v="60.18"/>
    <x v="7"/>
    <n v="12.036"/>
    <x v="650"/>
    <x v="69"/>
    <x v="358"/>
    <x v="2"/>
    <x v="650"/>
    <n v="4.7619047620000003"/>
    <n v="12.036"/>
    <n v="9.4"/>
  </r>
  <r>
    <x v="655"/>
    <x v="0"/>
    <x v="0"/>
    <x v="1"/>
    <x v="0"/>
    <x v="1"/>
    <n v="15.69"/>
    <x v="6"/>
    <n v="2.3534999999999999"/>
    <x v="651"/>
    <x v="86"/>
    <x v="385"/>
    <x v="2"/>
    <x v="651"/>
    <n v="4.7619047620000003"/>
    <n v="2.3534999999999999"/>
    <n v="5.8"/>
  </r>
  <r>
    <x v="656"/>
    <x v="1"/>
    <x v="1"/>
    <x v="1"/>
    <x v="0"/>
    <x v="1"/>
    <n v="99.69"/>
    <x v="8"/>
    <n v="4.9844999999999997"/>
    <x v="652"/>
    <x v="33"/>
    <x v="81"/>
    <x v="2"/>
    <x v="652"/>
    <n v="4.7619047620000003"/>
    <n v="4.9844999999999997"/>
    <n v="8"/>
  </r>
  <r>
    <x v="657"/>
    <x v="0"/>
    <x v="0"/>
    <x v="0"/>
    <x v="0"/>
    <x v="5"/>
    <n v="88.15"/>
    <x v="6"/>
    <n v="13.2225"/>
    <x v="653"/>
    <x v="68"/>
    <x v="41"/>
    <x v="0"/>
    <x v="653"/>
    <n v="4.7619047620000003"/>
    <n v="13.2225"/>
    <n v="7.9"/>
  </r>
  <r>
    <x v="658"/>
    <x v="0"/>
    <x v="0"/>
    <x v="0"/>
    <x v="0"/>
    <x v="3"/>
    <n v="27.93"/>
    <x v="1"/>
    <n v="6.9824999999999999"/>
    <x v="654"/>
    <x v="71"/>
    <x v="74"/>
    <x v="1"/>
    <x v="654"/>
    <n v="4.7619047620000003"/>
    <n v="6.9824999999999999"/>
    <n v="5.9"/>
  </r>
  <r>
    <x v="659"/>
    <x v="0"/>
    <x v="0"/>
    <x v="0"/>
    <x v="1"/>
    <x v="5"/>
    <n v="55.45"/>
    <x v="8"/>
    <n v="2.7725"/>
    <x v="655"/>
    <x v="84"/>
    <x v="409"/>
    <x v="2"/>
    <x v="655"/>
    <n v="4.7619047620000003"/>
    <n v="2.7725"/>
    <n v="4.9000000000000004"/>
  </r>
  <r>
    <x v="660"/>
    <x v="2"/>
    <x v="2"/>
    <x v="1"/>
    <x v="0"/>
    <x v="3"/>
    <n v="42.97"/>
    <x v="6"/>
    <n v="6.4455"/>
    <x v="656"/>
    <x v="36"/>
    <x v="246"/>
    <x v="1"/>
    <x v="656"/>
    <n v="4.7619047620000003"/>
    <n v="6.4455"/>
    <n v="9.3000000000000007"/>
  </r>
  <r>
    <x v="661"/>
    <x v="1"/>
    <x v="1"/>
    <x v="0"/>
    <x v="1"/>
    <x v="3"/>
    <n v="17.14"/>
    <x v="0"/>
    <n v="5.9989999999999997"/>
    <x v="657"/>
    <x v="65"/>
    <x v="348"/>
    <x v="2"/>
    <x v="657"/>
    <n v="4.7619047620000003"/>
    <n v="5.9989999999999997"/>
    <n v="7.9"/>
  </r>
  <r>
    <x v="662"/>
    <x v="2"/>
    <x v="2"/>
    <x v="0"/>
    <x v="0"/>
    <x v="5"/>
    <n v="58.75"/>
    <x v="3"/>
    <n v="17.625"/>
    <x v="658"/>
    <x v="62"/>
    <x v="92"/>
    <x v="2"/>
    <x v="658"/>
    <n v="4.7619047620000003"/>
    <n v="17.625"/>
    <n v="5.9"/>
  </r>
  <r>
    <x v="663"/>
    <x v="1"/>
    <x v="1"/>
    <x v="0"/>
    <x v="0"/>
    <x v="4"/>
    <n v="87.1"/>
    <x v="4"/>
    <n v="43.55"/>
    <x v="659"/>
    <x v="12"/>
    <x v="410"/>
    <x v="2"/>
    <x v="659"/>
    <n v="4.7619047620000003"/>
    <n v="43.55"/>
    <n v="9.9"/>
  </r>
  <r>
    <x v="664"/>
    <x v="1"/>
    <x v="1"/>
    <x v="1"/>
    <x v="0"/>
    <x v="3"/>
    <n v="98.8"/>
    <x v="5"/>
    <n v="9.8800000000000008"/>
    <x v="660"/>
    <x v="81"/>
    <x v="411"/>
    <x v="1"/>
    <x v="660"/>
    <n v="4.7619047620000003"/>
    <n v="9.8800000000000008"/>
    <n v="7.7"/>
  </r>
  <r>
    <x v="665"/>
    <x v="0"/>
    <x v="0"/>
    <x v="1"/>
    <x v="0"/>
    <x v="5"/>
    <n v="48.63"/>
    <x v="7"/>
    <n v="9.7260000000000009"/>
    <x v="661"/>
    <x v="87"/>
    <x v="284"/>
    <x v="0"/>
    <x v="661"/>
    <n v="4.7619047620000003"/>
    <n v="9.7260000000000009"/>
    <n v="7.6"/>
  </r>
  <r>
    <x v="666"/>
    <x v="2"/>
    <x v="2"/>
    <x v="0"/>
    <x v="1"/>
    <x v="4"/>
    <n v="57.74"/>
    <x v="6"/>
    <n v="8.6609999999999996"/>
    <x v="662"/>
    <x v="9"/>
    <x v="412"/>
    <x v="0"/>
    <x v="662"/>
    <n v="4.7619047620000003"/>
    <n v="8.6609999999999996"/>
    <n v="7.7"/>
  </r>
  <r>
    <x v="667"/>
    <x v="2"/>
    <x v="2"/>
    <x v="1"/>
    <x v="0"/>
    <x v="0"/>
    <n v="17.97"/>
    <x v="7"/>
    <n v="3.5939999999999999"/>
    <x v="663"/>
    <x v="55"/>
    <x v="413"/>
    <x v="0"/>
    <x v="663"/>
    <n v="4.7619047620000003"/>
    <n v="3.5939999999999999"/>
    <n v="6.4"/>
  </r>
  <r>
    <x v="668"/>
    <x v="1"/>
    <x v="1"/>
    <x v="0"/>
    <x v="0"/>
    <x v="0"/>
    <n v="47.71"/>
    <x v="3"/>
    <n v="14.313000000000001"/>
    <x v="664"/>
    <x v="69"/>
    <x v="401"/>
    <x v="0"/>
    <x v="664"/>
    <n v="4.7619047620000003"/>
    <n v="14.313000000000001"/>
    <n v="4.4000000000000004"/>
  </r>
  <r>
    <x v="669"/>
    <x v="2"/>
    <x v="2"/>
    <x v="1"/>
    <x v="0"/>
    <x v="3"/>
    <n v="40.619999999999997"/>
    <x v="5"/>
    <n v="4.0620000000000003"/>
    <x v="665"/>
    <x v="29"/>
    <x v="175"/>
    <x v="2"/>
    <x v="665"/>
    <n v="4.7619047620000003"/>
    <n v="4.0620000000000003"/>
    <n v="4.0999999999999996"/>
  </r>
  <r>
    <x v="670"/>
    <x v="0"/>
    <x v="0"/>
    <x v="0"/>
    <x v="1"/>
    <x v="5"/>
    <n v="56.04"/>
    <x v="4"/>
    <n v="28.02"/>
    <x v="666"/>
    <x v="78"/>
    <x v="171"/>
    <x v="0"/>
    <x v="666"/>
    <n v="4.7619047620000003"/>
    <n v="28.02"/>
    <n v="4.4000000000000004"/>
  </r>
  <r>
    <x v="671"/>
    <x v="2"/>
    <x v="2"/>
    <x v="0"/>
    <x v="1"/>
    <x v="4"/>
    <n v="93.4"/>
    <x v="5"/>
    <n v="9.34"/>
    <x v="667"/>
    <x v="73"/>
    <x v="414"/>
    <x v="1"/>
    <x v="667"/>
    <n v="4.7619047620000003"/>
    <n v="9.34"/>
    <n v="5.5"/>
  </r>
  <r>
    <x v="672"/>
    <x v="2"/>
    <x v="2"/>
    <x v="1"/>
    <x v="0"/>
    <x v="0"/>
    <n v="73.41"/>
    <x v="6"/>
    <n v="11.0115"/>
    <x v="668"/>
    <x v="22"/>
    <x v="415"/>
    <x v="0"/>
    <x v="668"/>
    <n v="4.7619047620000003"/>
    <n v="11.0115"/>
    <n v="4"/>
  </r>
  <r>
    <x v="673"/>
    <x v="1"/>
    <x v="1"/>
    <x v="1"/>
    <x v="1"/>
    <x v="0"/>
    <n v="33.64"/>
    <x v="2"/>
    <n v="13.456"/>
    <x v="669"/>
    <x v="42"/>
    <x v="416"/>
    <x v="2"/>
    <x v="669"/>
    <n v="4.7619047620000003"/>
    <n v="13.456"/>
    <n v="9.3000000000000007"/>
  </r>
  <r>
    <x v="674"/>
    <x v="0"/>
    <x v="0"/>
    <x v="1"/>
    <x v="0"/>
    <x v="1"/>
    <n v="45.48"/>
    <x v="4"/>
    <n v="22.74"/>
    <x v="670"/>
    <x v="59"/>
    <x v="417"/>
    <x v="2"/>
    <x v="670"/>
    <n v="4.7619047620000003"/>
    <n v="22.74"/>
    <n v="4.8"/>
  </r>
  <r>
    <x v="675"/>
    <x v="2"/>
    <x v="2"/>
    <x v="0"/>
    <x v="1"/>
    <x v="5"/>
    <n v="83.77"/>
    <x v="5"/>
    <n v="8.3770000000000007"/>
    <x v="628"/>
    <x v="7"/>
    <x v="129"/>
    <x v="1"/>
    <x v="628"/>
    <n v="4.7619047620000003"/>
    <n v="8.3770000000000007"/>
    <n v="4.5999999999999996"/>
  </r>
  <r>
    <x v="676"/>
    <x v="2"/>
    <x v="2"/>
    <x v="0"/>
    <x v="0"/>
    <x v="3"/>
    <n v="64.08"/>
    <x v="0"/>
    <n v="22.428000000000001"/>
    <x v="671"/>
    <x v="88"/>
    <x v="418"/>
    <x v="2"/>
    <x v="671"/>
    <n v="4.7619047620000003"/>
    <n v="22.428000000000001"/>
    <n v="7.3"/>
  </r>
  <r>
    <x v="677"/>
    <x v="0"/>
    <x v="0"/>
    <x v="0"/>
    <x v="0"/>
    <x v="4"/>
    <n v="73.47"/>
    <x v="7"/>
    <n v="14.694000000000001"/>
    <x v="672"/>
    <x v="55"/>
    <x v="5"/>
    <x v="1"/>
    <x v="672"/>
    <n v="4.7619047620000003"/>
    <n v="14.694000000000001"/>
    <n v="6"/>
  </r>
  <r>
    <x v="678"/>
    <x v="1"/>
    <x v="1"/>
    <x v="1"/>
    <x v="1"/>
    <x v="0"/>
    <n v="58.95"/>
    <x v="4"/>
    <n v="29.475000000000001"/>
    <x v="673"/>
    <x v="13"/>
    <x v="419"/>
    <x v="0"/>
    <x v="673"/>
    <n v="4.7619047620000003"/>
    <n v="29.475000000000001"/>
    <n v="8.1"/>
  </r>
  <r>
    <x v="679"/>
    <x v="0"/>
    <x v="0"/>
    <x v="0"/>
    <x v="1"/>
    <x v="4"/>
    <n v="48.5"/>
    <x v="3"/>
    <n v="14.55"/>
    <x v="674"/>
    <x v="83"/>
    <x v="317"/>
    <x v="0"/>
    <x v="674"/>
    <n v="4.7619047620000003"/>
    <n v="14.55"/>
    <n v="9.4"/>
  </r>
  <r>
    <x v="680"/>
    <x v="2"/>
    <x v="2"/>
    <x v="0"/>
    <x v="0"/>
    <x v="1"/>
    <n v="39.479999999999997"/>
    <x v="8"/>
    <n v="1.974"/>
    <x v="675"/>
    <x v="12"/>
    <x v="213"/>
    <x v="1"/>
    <x v="675"/>
    <n v="4.7619047620000003"/>
    <n v="1.974"/>
    <n v="6.5"/>
  </r>
  <r>
    <x v="681"/>
    <x v="2"/>
    <x v="2"/>
    <x v="1"/>
    <x v="0"/>
    <x v="3"/>
    <n v="34.81"/>
    <x v="8"/>
    <n v="1.7404999999999999"/>
    <x v="676"/>
    <x v="78"/>
    <x v="41"/>
    <x v="2"/>
    <x v="676"/>
    <n v="4.7619047620000003"/>
    <n v="1.7404999999999999"/>
    <n v="7"/>
  </r>
  <r>
    <x v="682"/>
    <x v="1"/>
    <x v="1"/>
    <x v="1"/>
    <x v="0"/>
    <x v="5"/>
    <n v="49.32"/>
    <x v="3"/>
    <n v="14.795999999999999"/>
    <x v="677"/>
    <x v="51"/>
    <x v="190"/>
    <x v="0"/>
    <x v="677"/>
    <n v="4.7619047620000003"/>
    <n v="14.795999999999999"/>
    <n v="7.1"/>
  </r>
  <r>
    <x v="683"/>
    <x v="0"/>
    <x v="0"/>
    <x v="0"/>
    <x v="1"/>
    <x v="5"/>
    <n v="21.48"/>
    <x v="5"/>
    <n v="2.1480000000000001"/>
    <x v="678"/>
    <x v="33"/>
    <x v="420"/>
    <x v="0"/>
    <x v="678"/>
    <n v="4.7619047620000003"/>
    <n v="2.1480000000000001"/>
    <n v="6.6"/>
  </r>
  <r>
    <x v="684"/>
    <x v="2"/>
    <x v="2"/>
    <x v="0"/>
    <x v="0"/>
    <x v="3"/>
    <n v="23.08"/>
    <x v="3"/>
    <n v="6.9240000000000004"/>
    <x v="679"/>
    <x v="46"/>
    <x v="25"/>
    <x v="0"/>
    <x v="679"/>
    <n v="4.7619047620000003"/>
    <n v="6.9240000000000004"/>
    <n v="4.9000000000000004"/>
  </r>
  <r>
    <x v="685"/>
    <x v="2"/>
    <x v="2"/>
    <x v="0"/>
    <x v="0"/>
    <x v="2"/>
    <n v="49.1"/>
    <x v="5"/>
    <n v="4.91"/>
    <x v="680"/>
    <x v="66"/>
    <x v="187"/>
    <x v="2"/>
    <x v="680"/>
    <n v="4.7619047620000003"/>
    <n v="4.91"/>
    <n v="6.4"/>
  </r>
  <r>
    <x v="686"/>
    <x v="2"/>
    <x v="2"/>
    <x v="0"/>
    <x v="0"/>
    <x v="3"/>
    <n v="64.83"/>
    <x v="5"/>
    <n v="6.4829999999999997"/>
    <x v="681"/>
    <x v="66"/>
    <x v="421"/>
    <x v="2"/>
    <x v="681"/>
    <n v="4.7619047620000003"/>
    <n v="6.4829999999999997"/>
    <n v="8"/>
  </r>
  <r>
    <x v="687"/>
    <x v="0"/>
    <x v="0"/>
    <x v="0"/>
    <x v="1"/>
    <x v="2"/>
    <n v="63.56"/>
    <x v="4"/>
    <n v="31.78"/>
    <x v="682"/>
    <x v="65"/>
    <x v="422"/>
    <x v="1"/>
    <x v="682"/>
    <n v="4.7619047620000003"/>
    <n v="31.78"/>
    <n v="4.3"/>
  </r>
  <r>
    <x v="688"/>
    <x v="1"/>
    <x v="1"/>
    <x v="0"/>
    <x v="1"/>
    <x v="3"/>
    <n v="72.88"/>
    <x v="5"/>
    <n v="7.2880000000000003"/>
    <x v="683"/>
    <x v="45"/>
    <x v="423"/>
    <x v="1"/>
    <x v="683"/>
    <n v="4.7619047620000003"/>
    <n v="7.2880000000000003"/>
    <n v="6.1"/>
  </r>
  <r>
    <x v="689"/>
    <x v="0"/>
    <x v="0"/>
    <x v="1"/>
    <x v="0"/>
    <x v="4"/>
    <n v="67.099999999999994"/>
    <x v="6"/>
    <n v="10.065"/>
    <x v="684"/>
    <x v="42"/>
    <x v="130"/>
    <x v="1"/>
    <x v="684"/>
    <n v="4.7619047620000003"/>
    <n v="10.065"/>
    <n v="7.5"/>
  </r>
  <r>
    <x v="690"/>
    <x v="1"/>
    <x v="1"/>
    <x v="0"/>
    <x v="0"/>
    <x v="3"/>
    <n v="70.19"/>
    <x v="9"/>
    <n v="31.5855"/>
    <x v="685"/>
    <x v="25"/>
    <x v="309"/>
    <x v="1"/>
    <x v="685"/>
    <n v="4.7619047620000003"/>
    <n v="31.5855"/>
    <n v="6.7"/>
  </r>
  <r>
    <x v="691"/>
    <x v="1"/>
    <x v="1"/>
    <x v="0"/>
    <x v="1"/>
    <x v="4"/>
    <n v="55.04"/>
    <x v="0"/>
    <n v="19.263999999999999"/>
    <x v="686"/>
    <x v="41"/>
    <x v="30"/>
    <x v="0"/>
    <x v="686"/>
    <n v="4.7619047620000003"/>
    <n v="19.263999999999999"/>
    <n v="5.2"/>
  </r>
  <r>
    <x v="692"/>
    <x v="0"/>
    <x v="0"/>
    <x v="0"/>
    <x v="1"/>
    <x v="0"/>
    <n v="48.63"/>
    <x v="4"/>
    <n v="24.315000000000001"/>
    <x v="687"/>
    <x v="31"/>
    <x v="104"/>
    <x v="1"/>
    <x v="687"/>
    <n v="4.7619047620000003"/>
    <n v="24.315000000000001"/>
    <n v="8.8000000000000007"/>
  </r>
  <r>
    <x v="693"/>
    <x v="1"/>
    <x v="1"/>
    <x v="0"/>
    <x v="0"/>
    <x v="5"/>
    <n v="73.38"/>
    <x v="0"/>
    <n v="25.683"/>
    <x v="688"/>
    <x v="34"/>
    <x v="424"/>
    <x v="1"/>
    <x v="688"/>
    <n v="4.7619047620000003"/>
    <n v="25.683"/>
    <n v="9.5"/>
  </r>
  <r>
    <x v="694"/>
    <x v="1"/>
    <x v="1"/>
    <x v="1"/>
    <x v="0"/>
    <x v="4"/>
    <n v="52.6"/>
    <x v="9"/>
    <n v="23.67"/>
    <x v="689"/>
    <x v="65"/>
    <x v="51"/>
    <x v="1"/>
    <x v="689"/>
    <n v="4.7619047620000003"/>
    <n v="23.67"/>
    <n v="7.6"/>
  </r>
  <r>
    <x v="695"/>
    <x v="0"/>
    <x v="0"/>
    <x v="0"/>
    <x v="0"/>
    <x v="2"/>
    <n v="87.37"/>
    <x v="1"/>
    <n v="21.842500000000001"/>
    <x v="690"/>
    <x v="71"/>
    <x v="425"/>
    <x v="1"/>
    <x v="690"/>
    <n v="4.7619047620000003"/>
    <n v="21.842500000000001"/>
    <n v="6.6"/>
  </r>
  <r>
    <x v="696"/>
    <x v="0"/>
    <x v="0"/>
    <x v="0"/>
    <x v="0"/>
    <x v="3"/>
    <n v="27.04"/>
    <x v="7"/>
    <n v="5.4080000000000004"/>
    <x v="691"/>
    <x v="17"/>
    <x v="263"/>
    <x v="0"/>
    <x v="691"/>
    <n v="4.7619047620000003"/>
    <n v="5.4080000000000004"/>
    <n v="6.9"/>
  </r>
  <r>
    <x v="697"/>
    <x v="2"/>
    <x v="2"/>
    <x v="1"/>
    <x v="1"/>
    <x v="2"/>
    <n v="62.19"/>
    <x v="7"/>
    <n v="12.438000000000001"/>
    <x v="692"/>
    <x v="47"/>
    <x v="162"/>
    <x v="0"/>
    <x v="692"/>
    <n v="4.7619047620000003"/>
    <n v="12.438000000000001"/>
    <n v="4.3"/>
  </r>
  <r>
    <x v="698"/>
    <x v="0"/>
    <x v="0"/>
    <x v="0"/>
    <x v="1"/>
    <x v="1"/>
    <n v="69.58"/>
    <x v="9"/>
    <n v="31.311"/>
    <x v="693"/>
    <x v="88"/>
    <x v="371"/>
    <x v="2"/>
    <x v="693"/>
    <n v="4.7619047620000003"/>
    <n v="31.311"/>
    <n v="7.8"/>
  </r>
  <r>
    <x v="699"/>
    <x v="1"/>
    <x v="1"/>
    <x v="1"/>
    <x v="1"/>
    <x v="2"/>
    <n v="97.5"/>
    <x v="4"/>
    <n v="48.75"/>
    <x v="694"/>
    <x v="52"/>
    <x v="426"/>
    <x v="0"/>
    <x v="694"/>
    <n v="4.7619047620000003"/>
    <n v="48.75"/>
    <n v="8"/>
  </r>
  <r>
    <x v="700"/>
    <x v="1"/>
    <x v="1"/>
    <x v="1"/>
    <x v="0"/>
    <x v="5"/>
    <n v="60.41"/>
    <x v="2"/>
    <n v="24.164000000000001"/>
    <x v="695"/>
    <x v="13"/>
    <x v="384"/>
    <x v="0"/>
    <x v="695"/>
    <n v="4.7619047620000003"/>
    <n v="24.164000000000001"/>
    <n v="9.6"/>
  </r>
  <r>
    <x v="701"/>
    <x v="2"/>
    <x v="2"/>
    <x v="1"/>
    <x v="1"/>
    <x v="4"/>
    <n v="32.32"/>
    <x v="6"/>
    <n v="4.8479999999999999"/>
    <x v="696"/>
    <x v="39"/>
    <x v="386"/>
    <x v="2"/>
    <x v="696"/>
    <n v="4.7619047620000003"/>
    <n v="4.8479999999999999"/>
    <n v="4.3"/>
  </r>
  <r>
    <x v="702"/>
    <x v="2"/>
    <x v="2"/>
    <x v="0"/>
    <x v="0"/>
    <x v="5"/>
    <n v="19.77"/>
    <x v="4"/>
    <n v="9.8849999999999998"/>
    <x v="697"/>
    <x v="33"/>
    <x v="427"/>
    <x v="2"/>
    <x v="697"/>
    <n v="4.7619047620000003"/>
    <n v="9.8849999999999998"/>
    <n v="5"/>
  </r>
  <r>
    <x v="703"/>
    <x v="2"/>
    <x v="2"/>
    <x v="0"/>
    <x v="1"/>
    <x v="0"/>
    <n v="80.47"/>
    <x v="9"/>
    <n v="36.211500000000001"/>
    <x v="698"/>
    <x v="47"/>
    <x v="428"/>
    <x v="1"/>
    <x v="698"/>
    <n v="4.7619047620000003"/>
    <n v="36.211500000000001"/>
    <n v="9.1999999999999993"/>
  </r>
  <r>
    <x v="704"/>
    <x v="2"/>
    <x v="2"/>
    <x v="0"/>
    <x v="0"/>
    <x v="2"/>
    <n v="88.39"/>
    <x v="9"/>
    <n v="39.775500000000001"/>
    <x v="699"/>
    <x v="22"/>
    <x v="343"/>
    <x v="1"/>
    <x v="699"/>
    <n v="4.7619047620000003"/>
    <n v="39.775500000000001"/>
    <n v="6.3"/>
  </r>
  <r>
    <x v="705"/>
    <x v="2"/>
    <x v="2"/>
    <x v="1"/>
    <x v="1"/>
    <x v="0"/>
    <n v="71.77"/>
    <x v="0"/>
    <n v="25.119499999999999"/>
    <x v="700"/>
    <x v="14"/>
    <x v="429"/>
    <x v="1"/>
    <x v="700"/>
    <n v="4.7619047620000003"/>
    <n v="25.119499999999999"/>
    <n v="8.9"/>
  </r>
  <r>
    <x v="706"/>
    <x v="2"/>
    <x v="2"/>
    <x v="1"/>
    <x v="0"/>
    <x v="1"/>
    <n v="43"/>
    <x v="7"/>
    <n v="8.6"/>
    <x v="701"/>
    <x v="82"/>
    <x v="109"/>
    <x v="0"/>
    <x v="701"/>
    <n v="4.7619047620000003"/>
    <n v="8.6"/>
    <n v="7.6"/>
  </r>
  <r>
    <x v="707"/>
    <x v="1"/>
    <x v="1"/>
    <x v="0"/>
    <x v="1"/>
    <x v="4"/>
    <n v="68.98"/>
    <x v="8"/>
    <n v="3.4489999999999998"/>
    <x v="702"/>
    <x v="18"/>
    <x v="430"/>
    <x v="1"/>
    <x v="702"/>
    <n v="4.7619047620000003"/>
    <n v="3.4489999999999998"/>
    <n v="4.8"/>
  </r>
  <r>
    <x v="708"/>
    <x v="1"/>
    <x v="1"/>
    <x v="1"/>
    <x v="1"/>
    <x v="5"/>
    <n v="15.62"/>
    <x v="2"/>
    <n v="6.2480000000000002"/>
    <x v="703"/>
    <x v="40"/>
    <x v="291"/>
    <x v="0"/>
    <x v="703"/>
    <n v="4.7619047620000003"/>
    <n v="6.2480000000000002"/>
    <n v="9.1"/>
  </r>
  <r>
    <x v="709"/>
    <x v="0"/>
    <x v="0"/>
    <x v="1"/>
    <x v="1"/>
    <x v="3"/>
    <n v="25.7"/>
    <x v="6"/>
    <n v="3.855"/>
    <x v="704"/>
    <x v="29"/>
    <x v="422"/>
    <x v="0"/>
    <x v="704"/>
    <n v="4.7619047620000003"/>
    <n v="3.855"/>
    <n v="6.1"/>
  </r>
  <r>
    <x v="710"/>
    <x v="0"/>
    <x v="0"/>
    <x v="0"/>
    <x v="1"/>
    <x v="4"/>
    <n v="80.62"/>
    <x v="3"/>
    <n v="24.186"/>
    <x v="705"/>
    <x v="38"/>
    <x v="307"/>
    <x v="1"/>
    <x v="705"/>
    <n v="4.7619047620000003"/>
    <n v="24.186"/>
    <n v="9.1"/>
  </r>
  <r>
    <x v="711"/>
    <x v="1"/>
    <x v="1"/>
    <x v="0"/>
    <x v="0"/>
    <x v="2"/>
    <n v="75.53"/>
    <x v="7"/>
    <n v="15.106"/>
    <x v="706"/>
    <x v="35"/>
    <x v="350"/>
    <x v="0"/>
    <x v="706"/>
    <n v="4.7619047620000003"/>
    <n v="15.106"/>
    <n v="8.3000000000000007"/>
  </r>
  <r>
    <x v="712"/>
    <x v="1"/>
    <x v="1"/>
    <x v="1"/>
    <x v="0"/>
    <x v="1"/>
    <n v="77.63"/>
    <x v="9"/>
    <n v="34.933500000000002"/>
    <x v="707"/>
    <x v="88"/>
    <x v="431"/>
    <x v="0"/>
    <x v="707"/>
    <n v="4.7619047620000003"/>
    <n v="34.933500000000002"/>
    <n v="7.2"/>
  </r>
  <r>
    <x v="713"/>
    <x v="1"/>
    <x v="1"/>
    <x v="1"/>
    <x v="0"/>
    <x v="0"/>
    <n v="13.85"/>
    <x v="9"/>
    <n v="6.2324999999999999"/>
    <x v="708"/>
    <x v="87"/>
    <x v="165"/>
    <x v="0"/>
    <x v="708"/>
    <n v="4.7619047620000003"/>
    <n v="6.2324999999999999"/>
    <n v="6"/>
  </r>
  <r>
    <x v="714"/>
    <x v="1"/>
    <x v="1"/>
    <x v="0"/>
    <x v="1"/>
    <x v="5"/>
    <n v="98.7"/>
    <x v="2"/>
    <n v="39.479999999999997"/>
    <x v="43"/>
    <x v="82"/>
    <x v="130"/>
    <x v="0"/>
    <x v="43"/>
    <n v="4.7619047620000003"/>
    <n v="39.479999999999997"/>
    <n v="8.5"/>
  </r>
  <r>
    <x v="715"/>
    <x v="0"/>
    <x v="0"/>
    <x v="1"/>
    <x v="0"/>
    <x v="0"/>
    <n v="35.68"/>
    <x v="1"/>
    <n v="8.92"/>
    <x v="709"/>
    <x v="10"/>
    <x v="333"/>
    <x v="2"/>
    <x v="709"/>
    <n v="4.7619047620000003"/>
    <n v="8.92"/>
    <n v="6.6"/>
  </r>
  <r>
    <x v="716"/>
    <x v="0"/>
    <x v="0"/>
    <x v="0"/>
    <x v="0"/>
    <x v="5"/>
    <n v="71.459999999999994"/>
    <x v="0"/>
    <n v="25.010999999999999"/>
    <x v="710"/>
    <x v="61"/>
    <x v="432"/>
    <x v="0"/>
    <x v="710"/>
    <n v="4.7619047620000003"/>
    <n v="25.010999999999999"/>
    <n v="4.5"/>
  </r>
  <r>
    <x v="717"/>
    <x v="0"/>
    <x v="0"/>
    <x v="0"/>
    <x v="1"/>
    <x v="1"/>
    <n v="11.94"/>
    <x v="6"/>
    <n v="1.7909999999999999"/>
    <x v="711"/>
    <x v="64"/>
    <x v="433"/>
    <x v="2"/>
    <x v="711"/>
    <n v="4.7619047620000003"/>
    <n v="1.7909999999999999"/>
    <n v="8.1"/>
  </r>
  <r>
    <x v="718"/>
    <x v="0"/>
    <x v="0"/>
    <x v="1"/>
    <x v="1"/>
    <x v="5"/>
    <n v="45.38"/>
    <x v="6"/>
    <n v="6.8070000000000004"/>
    <x v="712"/>
    <x v="21"/>
    <x v="229"/>
    <x v="2"/>
    <x v="712"/>
    <n v="4.7619047620000003"/>
    <n v="6.8070000000000004"/>
    <n v="7.2"/>
  </r>
  <r>
    <x v="719"/>
    <x v="2"/>
    <x v="2"/>
    <x v="0"/>
    <x v="0"/>
    <x v="5"/>
    <n v="17.48"/>
    <x v="3"/>
    <n v="5.2439999999999998"/>
    <x v="713"/>
    <x v="68"/>
    <x v="278"/>
    <x v="2"/>
    <x v="713"/>
    <n v="4.7619047620000003"/>
    <n v="5.2439999999999998"/>
    <n v="6.1"/>
  </r>
  <r>
    <x v="720"/>
    <x v="2"/>
    <x v="2"/>
    <x v="1"/>
    <x v="0"/>
    <x v="5"/>
    <n v="25.56"/>
    <x v="0"/>
    <n v="8.9459999999999997"/>
    <x v="714"/>
    <x v="30"/>
    <x v="434"/>
    <x v="1"/>
    <x v="714"/>
    <n v="4.7619047620000003"/>
    <n v="8.9459999999999997"/>
    <n v="7.1"/>
  </r>
  <r>
    <x v="721"/>
    <x v="1"/>
    <x v="1"/>
    <x v="0"/>
    <x v="0"/>
    <x v="3"/>
    <n v="90.63"/>
    <x v="9"/>
    <n v="40.783499999999997"/>
    <x v="715"/>
    <x v="68"/>
    <x v="311"/>
    <x v="1"/>
    <x v="715"/>
    <n v="4.7619047620000003"/>
    <n v="40.783499999999997"/>
    <n v="5.0999999999999996"/>
  </r>
  <r>
    <x v="722"/>
    <x v="2"/>
    <x v="2"/>
    <x v="1"/>
    <x v="1"/>
    <x v="2"/>
    <n v="44.12"/>
    <x v="6"/>
    <n v="6.6180000000000003"/>
    <x v="716"/>
    <x v="79"/>
    <x v="286"/>
    <x v="2"/>
    <x v="716"/>
    <n v="4.7619047620000003"/>
    <n v="6.6180000000000003"/>
    <n v="7.9"/>
  </r>
  <r>
    <x v="723"/>
    <x v="1"/>
    <x v="1"/>
    <x v="0"/>
    <x v="0"/>
    <x v="4"/>
    <n v="36.770000000000003"/>
    <x v="0"/>
    <n v="12.8695"/>
    <x v="717"/>
    <x v="83"/>
    <x v="435"/>
    <x v="1"/>
    <x v="717"/>
    <n v="4.7619047620000003"/>
    <n v="12.8695"/>
    <n v="7.4"/>
  </r>
  <r>
    <x v="724"/>
    <x v="2"/>
    <x v="2"/>
    <x v="0"/>
    <x v="1"/>
    <x v="4"/>
    <n v="23.34"/>
    <x v="7"/>
    <n v="4.6680000000000001"/>
    <x v="718"/>
    <x v="87"/>
    <x v="387"/>
    <x v="0"/>
    <x v="718"/>
    <n v="4.7619047620000003"/>
    <n v="4.6680000000000001"/>
    <n v="7.4"/>
  </r>
  <r>
    <x v="725"/>
    <x v="1"/>
    <x v="1"/>
    <x v="0"/>
    <x v="0"/>
    <x v="0"/>
    <n v="28.5"/>
    <x v="2"/>
    <n v="11.4"/>
    <x v="719"/>
    <x v="10"/>
    <x v="436"/>
    <x v="1"/>
    <x v="719"/>
    <n v="4.7619047620000003"/>
    <n v="11.4"/>
    <n v="6.6"/>
  </r>
  <r>
    <x v="726"/>
    <x v="1"/>
    <x v="1"/>
    <x v="0"/>
    <x v="1"/>
    <x v="2"/>
    <n v="55.57"/>
    <x v="6"/>
    <n v="8.3354999999999997"/>
    <x v="720"/>
    <x v="66"/>
    <x v="437"/>
    <x v="2"/>
    <x v="720"/>
    <n v="4.7619047620000003"/>
    <n v="8.3354999999999997"/>
    <n v="5.9"/>
  </r>
  <r>
    <x v="727"/>
    <x v="2"/>
    <x v="2"/>
    <x v="1"/>
    <x v="1"/>
    <x v="3"/>
    <n v="69.739999999999995"/>
    <x v="4"/>
    <n v="34.869999999999997"/>
    <x v="721"/>
    <x v="19"/>
    <x v="438"/>
    <x v="2"/>
    <x v="721"/>
    <n v="4.7619047620000003"/>
    <n v="34.869999999999997"/>
    <n v="8.9"/>
  </r>
  <r>
    <x v="728"/>
    <x v="1"/>
    <x v="1"/>
    <x v="1"/>
    <x v="1"/>
    <x v="5"/>
    <n v="97.26"/>
    <x v="7"/>
    <n v="19.452000000000002"/>
    <x v="722"/>
    <x v="32"/>
    <x v="439"/>
    <x v="0"/>
    <x v="722"/>
    <n v="4.7619047620000003"/>
    <n v="19.452000000000002"/>
    <n v="6.8"/>
  </r>
  <r>
    <x v="729"/>
    <x v="2"/>
    <x v="2"/>
    <x v="0"/>
    <x v="0"/>
    <x v="2"/>
    <n v="52.18"/>
    <x v="0"/>
    <n v="18.263000000000002"/>
    <x v="723"/>
    <x v="11"/>
    <x v="200"/>
    <x v="1"/>
    <x v="723"/>
    <n v="4.7619047620000003"/>
    <n v="18.263000000000002"/>
    <n v="9.3000000000000007"/>
  </r>
  <r>
    <x v="730"/>
    <x v="0"/>
    <x v="0"/>
    <x v="0"/>
    <x v="0"/>
    <x v="5"/>
    <n v="22.32"/>
    <x v="7"/>
    <n v="4.4640000000000004"/>
    <x v="724"/>
    <x v="59"/>
    <x v="293"/>
    <x v="2"/>
    <x v="724"/>
    <n v="4.7619047620000003"/>
    <n v="4.4640000000000004"/>
    <n v="4.4000000000000004"/>
  </r>
  <r>
    <x v="731"/>
    <x v="0"/>
    <x v="0"/>
    <x v="1"/>
    <x v="1"/>
    <x v="0"/>
    <n v="56"/>
    <x v="6"/>
    <n v="8.4"/>
    <x v="725"/>
    <x v="38"/>
    <x v="295"/>
    <x v="0"/>
    <x v="725"/>
    <n v="4.7619047620000003"/>
    <n v="8.4"/>
    <n v="4.8"/>
  </r>
  <r>
    <x v="732"/>
    <x v="0"/>
    <x v="0"/>
    <x v="0"/>
    <x v="1"/>
    <x v="5"/>
    <n v="19.7"/>
    <x v="8"/>
    <n v="0.98499999999999999"/>
    <x v="726"/>
    <x v="4"/>
    <x v="411"/>
    <x v="0"/>
    <x v="726"/>
    <n v="4.7619047620000003"/>
    <n v="0.98499999999999999"/>
    <n v="9.5"/>
  </r>
  <r>
    <x v="733"/>
    <x v="2"/>
    <x v="2"/>
    <x v="1"/>
    <x v="1"/>
    <x v="1"/>
    <n v="75.88"/>
    <x v="0"/>
    <n v="26.558"/>
    <x v="727"/>
    <x v="46"/>
    <x v="440"/>
    <x v="0"/>
    <x v="727"/>
    <n v="4.7619047620000003"/>
    <n v="26.558"/>
    <n v="8.9"/>
  </r>
  <r>
    <x v="734"/>
    <x v="2"/>
    <x v="2"/>
    <x v="0"/>
    <x v="1"/>
    <x v="4"/>
    <n v="53.72"/>
    <x v="8"/>
    <n v="2.6859999999999999"/>
    <x v="728"/>
    <x v="59"/>
    <x v="356"/>
    <x v="0"/>
    <x v="728"/>
    <n v="4.7619047620000003"/>
    <n v="2.6859999999999999"/>
    <n v="6.4"/>
  </r>
  <r>
    <x v="735"/>
    <x v="1"/>
    <x v="1"/>
    <x v="0"/>
    <x v="1"/>
    <x v="0"/>
    <n v="81.95"/>
    <x v="4"/>
    <n v="40.975000000000001"/>
    <x v="729"/>
    <x v="24"/>
    <x v="441"/>
    <x v="2"/>
    <x v="729"/>
    <n v="4.7619047620000003"/>
    <n v="40.975000000000001"/>
    <n v="6"/>
  </r>
  <r>
    <x v="736"/>
    <x v="1"/>
    <x v="1"/>
    <x v="0"/>
    <x v="0"/>
    <x v="2"/>
    <n v="81.2"/>
    <x v="0"/>
    <n v="28.42"/>
    <x v="730"/>
    <x v="28"/>
    <x v="273"/>
    <x v="2"/>
    <x v="730"/>
    <n v="4.7619047620000003"/>
    <n v="28.42"/>
    <n v="8.1"/>
  </r>
  <r>
    <x v="737"/>
    <x v="1"/>
    <x v="1"/>
    <x v="1"/>
    <x v="1"/>
    <x v="1"/>
    <n v="58.76"/>
    <x v="4"/>
    <n v="29.38"/>
    <x v="731"/>
    <x v="71"/>
    <x v="442"/>
    <x v="0"/>
    <x v="731"/>
    <n v="4.7619047620000003"/>
    <n v="29.38"/>
    <n v="9"/>
  </r>
  <r>
    <x v="738"/>
    <x v="2"/>
    <x v="2"/>
    <x v="0"/>
    <x v="1"/>
    <x v="1"/>
    <n v="91.56"/>
    <x v="2"/>
    <n v="36.624000000000002"/>
    <x v="732"/>
    <x v="52"/>
    <x v="282"/>
    <x v="0"/>
    <x v="732"/>
    <n v="4.7619047620000003"/>
    <n v="36.624000000000002"/>
    <n v="6"/>
  </r>
  <r>
    <x v="739"/>
    <x v="0"/>
    <x v="0"/>
    <x v="1"/>
    <x v="1"/>
    <x v="2"/>
    <n v="93.96"/>
    <x v="9"/>
    <n v="42.281999999999996"/>
    <x v="733"/>
    <x v="80"/>
    <x v="102"/>
    <x v="1"/>
    <x v="733"/>
    <n v="4.7619047620000003"/>
    <n v="42.281999999999996"/>
    <n v="9.8000000000000007"/>
  </r>
  <r>
    <x v="740"/>
    <x v="1"/>
    <x v="1"/>
    <x v="1"/>
    <x v="1"/>
    <x v="2"/>
    <n v="55.61"/>
    <x v="0"/>
    <n v="19.4635"/>
    <x v="734"/>
    <x v="28"/>
    <x v="443"/>
    <x v="1"/>
    <x v="734"/>
    <n v="4.7619047620000003"/>
    <n v="19.4635"/>
    <n v="8.5"/>
  </r>
  <r>
    <x v="741"/>
    <x v="1"/>
    <x v="1"/>
    <x v="1"/>
    <x v="1"/>
    <x v="4"/>
    <n v="84.83"/>
    <x v="8"/>
    <n v="4.2415000000000003"/>
    <x v="735"/>
    <x v="78"/>
    <x v="444"/>
    <x v="0"/>
    <x v="735"/>
    <n v="4.7619047620000003"/>
    <n v="4.2415000000000003"/>
    <n v="8.8000000000000007"/>
  </r>
  <r>
    <x v="742"/>
    <x v="0"/>
    <x v="0"/>
    <x v="0"/>
    <x v="0"/>
    <x v="3"/>
    <n v="71.63"/>
    <x v="5"/>
    <n v="7.1630000000000003"/>
    <x v="736"/>
    <x v="12"/>
    <x v="375"/>
    <x v="0"/>
    <x v="736"/>
    <n v="4.7619047620000003"/>
    <n v="7.1630000000000003"/>
    <n v="8.8000000000000007"/>
  </r>
  <r>
    <x v="743"/>
    <x v="0"/>
    <x v="0"/>
    <x v="0"/>
    <x v="1"/>
    <x v="2"/>
    <n v="37.69"/>
    <x v="5"/>
    <n v="3.7690000000000001"/>
    <x v="737"/>
    <x v="9"/>
    <x v="406"/>
    <x v="0"/>
    <x v="737"/>
    <n v="4.7619047620000003"/>
    <n v="3.7690000000000001"/>
    <n v="9.5"/>
  </r>
  <r>
    <x v="744"/>
    <x v="1"/>
    <x v="1"/>
    <x v="0"/>
    <x v="0"/>
    <x v="3"/>
    <n v="31.67"/>
    <x v="2"/>
    <n v="12.667999999999999"/>
    <x v="738"/>
    <x v="56"/>
    <x v="15"/>
    <x v="2"/>
    <x v="738"/>
    <n v="4.7619047620000003"/>
    <n v="12.667999999999999"/>
    <n v="5.6"/>
  </r>
  <r>
    <x v="745"/>
    <x v="1"/>
    <x v="1"/>
    <x v="0"/>
    <x v="0"/>
    <x v="4"/>
    <n v="38.42"/>
    <x v="8"/>
    <n v="1.921"/>
    <x v="739"/>
    <x v="30"/>
    <x v="445"/>
    <x v="1"/>
    <x v="739"/>
    <n v="4.7619047620000003"/>
    <n v="1.921"/>
    <n v="8.6"/>
  </r>
  <r>
    <x v="746"/>
    <x v="2"/>
    <x v="2"/>
    <x v="0"/>
    <x v="1"/>
    <x v="5"/>
    <n v="65.23"/>
    <x v="4"/>
    <n v="32.615000000000002"/>
    <x v="740"/>
    <x v="66"/>
    <x v="312"/>
    <x v="2"/>
    <x v="740"/>
    <n v="4.7619047620000003"/>
    <n v="32.615000000000002"/>
    <n v="5.2"/>
  </r>
  <r>
    <x v="747"/>
    <x v="1"/>
    <x v="1"/>
    <x v="0"/>
    <x v="0"/>
    <x v="2"/>
    <n v="10.53"/>
    <x v="1"/>
    <n v="2.6324999999999998"/>
    <x v="741"/>
    <x v="74"/>
    <x v="140"/>
    <x v="2"/>
    <x v="741"/>
    <n v="4.7619047620000003"/>
    <n v="2.6324999999999998"/>
    <n v="5.8"/>
  </r>
  <r>
    <x v="748"/>
    <x v="2"/>
    <x v="2"/>
    <x v="0"/>
    <x v="0"/>
    <x v="2"/>
    <n v="12.29"/>
    <x v="9"/>
    <n v="5.5305"/>
    <x v="742"/>
    <x v="58"/>
    <x v="198"/>
    <x v="2"/>
    <x v="742"/>
    <n v="4.7619047620000003"/>
    <n v="5.5305"/>
    <n v="8"/>
  </r>
  <r>
    <x v="749"/>
    <x v="1"/>
    <x v="1"/>
    <x v="0"/>
    <x v="1"/>
    <x v="0"/>
    <n v="81.23"/>
    <x v="0"/>
    <n v="28.430499999999999"/>
    <x v="743"/>
    <x v="15"/>
    <x v="446"/>
    <x v="1"/>
    <x v="743"/>
    <n v="4.7619047620000003"/>
    <n v="28.430499999999999"/>
    <n v="9"/>
  </r>
  <r>
    <x v="750"/>
    <x v="2"/>
    <x v="2"/>
    <x v="0"/>
    <x v="0"/>
    <x v="5"/>
    <n v="22.32"/>
    <x v="7"/>
    <n v="4.4640000000000004"/>
    <x v="724"/>
    <x v="86"/>
    <x v="447"/>
    <x v="0"/>
    <x v="724"/>
    <n v="4.7619047620000003"/>
    <n v="4.4640000000000004"/>
    <n v="4.0999999999999996"/>
  </r>
  <r>
    <x v="751"/>
    <x v="0"/>
    <x v="0"/>
    <x v="1"/>
    <x v="0"/>
    <x v="4"/>
    <n v="27.28"/>
    <x v="1"/>
    <n v="6.82"/>
    <x v="744"/>
    <x v="36"/>
    <x v="359"/>
    <x v="2"/>
    <x v="744"/>
    <n v="4.7619047620000003"/>
    <n v="6.82"/>
    <n v="8.6"/>
  </r>
  <r>
    <x v="752"/>
    <x v="0"/>
    <x v="0"/>
    <x v="0"/>
    <x v="0"/>
    <x v="1"/>
    <n v="17.420000000000002"/>
    <x v="4"/>
    <n v="8.7100000000000009"/>
    <x v="745"/>
    <x v="70"/>
    <x v="448"/>
    <x v="0"/>
    <x v="745"/>
    <n v="4.7619047620000003"/>
    <n v="8.7100000000000009"/>
    <n v="7"/>
  </r>
  <r>
    <x v="753"/>
    <x v="2"/>
    <x v="2"/>
    <x v="1"/>
    <x v="1"/>
    <x v="2"/>
    <n v="73.28"/>
    <x v="1"/>
    <n v="18.32"/>
    <x v="746"/>
    <x v="46"/>
    <x v="184"/>
    <x v="0"/>
    <x v="746"/>
    <n v="4.7619047620000003"/>
    <n v="18.32"/>
    <n v="8.4"/>
  </r>
  <r>
    <x v="754"/>
    <x v="1"/>
    <x v="1"/>
    <x v="0"/>
    <x v="0"/>
    <x v="5"/>
    <n v="84.87"/>
    <x v="6"/>
    <n v="12.730499999999999"/>
    <x v="747"/>
    <x v="25"/>
    <x v="5"/>
    <x v="0"/>
    <x v="747"/>
    <n v="4.7619047620000003"/>
    <n v="12.730499999999999"/>
    <n v="7.4"/>
  </r>
  <r>
    <x v="755"/>
    <x v="0"/>
    <x v="0"/>
    <x v="1"/>
    <x v="0"/>
    <x v="5"/>
    <n v="97.29"/>
    <x v="2"/>
    <n v="38.915999999999997"/>
    <x v="748"/>
    <x v="11"/>
    <x v="118"/>
    <x v="2"/>
    <x v="748"/>
    <n v="4.7619047620000003"/>
    <n v="38.915999999999997"/>
    <n v="6.2"/>
  </r>
  <r>
    <x v="756"/>
    <x v="2"/>
    <x v="2"/>
    <x v="0"/>
    <x v="0"/>
    <x v="1"/>
    <n v="35.74"/>
    <x v="2"/>
    <n v="14.295999999999999"/>
    <x v="749"/>
    <x v="21"/>
    <x v="311"/>
    <x v="0"/>
    <x v="749"/>
    <n v="4.7619047620000003"/>
    <n v="14.295999999999999"/>
    <n v="4.9000000000000004"/>
  </r>
  <r>
    <x v="757"/>
    <x v="0"/>
    <x v="0"/>
    <x v="1"/>
    <x v="0"/>
    <x v="2"/>
    <n v="96.52"/>
    <x v="3"/>
    <n v="28.956"/>
    <x v="750"/>
    <x v="83"/>
    <x v="408"/>
    <x v="1"/>
    <x v="750"/>
    <n v="4.7619047620000003"/>
    <n v="28.956"/>
    <n v="4.5"/>
  </r>
  <r>
    <x v="758"/>
    <x v="0"/>
    <x v="0"/>
    <x v="0"/>
    <x v="1"/>
    <x v="4"/>
    <n v="18.850000000000001"/>
    <x v="4"/>
    <n v="9.4250000000000007"/>
    <x v="751"/>
    <x v="33"/>
    <x v="202"/>
    <x v="0"/>
    <x v="751"/>
    <n v="4.7619047620000003"/>
    <n v="9.4250000000000007"/>
    <n v="5.6"/>
  </r>
  <r>
    <x v="759"/>
    <x v="0"/>
    <x v="0"/>
    <x v="1"/>
    <x v="0"/>
    <x v="4"/>
    <n v="55.39"/>
    <x v="7"/>
    <n v="11.077999999999999"/>
    <x v="752"/>
    <x v="5"/>
    <x v="332"/>
    <x v="0"/>
    <x v="752"/>
    <n v="4.7619047620000003"/>
    <n v="11.077999999999999"/>
    <n v="8"/>
  </r>
  <r>
    <x v="760"/>
    <x v="2"/>
    <x v="2"/>
    <x v="0"/>
    <x v="0"/>
    <x v="4"/>
    <n v="77.2"/>
    <x v="4"/>
    <n v="38.6"/>
    <x v="753"/>
    <x v="48"/>
    <x v="440"/>
    <x v="2"/>
    <x v="753"/>
    <n v="4.7619047620000003"/>
    <n v="38.6"/>
    <n v="5.6"/>
  </r>
  <r>
    <x v="761"/>
    <x v="2"/>
    <x v="2"/>
    <x v="1"/>
    <x v="1"/>
    <x v="1"/>
    <n v="72.13"/>
    <x v="4"/>
    <n v="36.064999999999998"/>
    <x v="754"/>
    <x v="82"/>
    <x v="290"/>
    <x v="2"/>
    <x v="754"/>
    <n v="4.7619047620000003"/>
    <n v="36.064999999999998"/>
    <n v="4.2"/>
  </r>
  <r>
    <x v="762"/>
    <x v="0"/>
    <x v="0"/>
    <x v="0"/>
    <x v="0"/>
    <x v="5"/>
    <n v="63.88"/>
    <x v="2"/>
    <n v="25.552"/>
    <x v="755"/>
    <x v="40"/>
    <x v="449"/>
    <x v="0"/>
    <x v="755"/>
    <n v="4.7619047620000003"/>
    <n v="25.552"/>
    <n v="9.9"/>
  </r>
  <r>
    <x v="763"/>
    <x v="0"/>
    <x v="0"/>
    <x v="0"/>
    <x v="0"/>
    <x v="0"/>
    <n v="10.69"/>
    <x v="1"/>
    <n v="2.6724999999999999"/>
    <x v="756"/>
    <x v="58"/>
    <x v="383"/>
    <x v="0"/>
    <x v="756"/>
    <n v="4.7619047620000003"/>
    <n v="2.6724999999999999"/>
    <n v="7.6"/>
  </r>
  <r>
    <x v="764"/>
    <x v="0"/>
    <x v="0"/>
    <x v="0"/>
    <x v="1"/>
    <x v="0"/>
    <n v="55.5"/>
    <x v="7"/>
    <n v="11.1"/>
    <x v="757"/>
    <x v="40"/>
    <x v="74"/>
    <x v="2"/>
    <x v="757"/>
    <n v="4.7619047620000003"/>
    <n v="11.1"/>
    <n v="6.6"/>
  </r>
  <r>
    <x v="765"/>
    <x v="2"/>
    <x v="2"/>
    <x v="1"/>
    <x v="0"/>
    <x v="2"/>
    <n v="95.46"/>
    <x v="2"/>
    <n v="38.183999999999997"/>
    <x v="758"/>
    <x v="19"/>
    <x v="138"/>
    <x v="0"/>
    <x v="758"/>
    <n v="4.7619047620000003"/>
    <n v="38.183999999999997"/>
    <n v="4.7"/>
  </r>
  <r>
    <x v="766"/>
    <x v="1"/>
    <x v="1"/>
    <x v="1"/>
    <x v="0"/>
    <x v="5"/>
    <n v="76.06"/>
    <x v="6"/>
    <n v="11.409000000000001"/>
    <x v="759"/>
    <x v="0"/>
    <x v="450"/>
    <x v="2"/>
    <x v="759"/>
    <n v="4.7619047620000003"/>
    <n v="11.409000000000001"/>
    <n v="9.8000000000000007"/>
  </r>
  <r>
    <x v="767"/>
    <x v="2"/>
    <x v="2"/>
    <x v="1"/>
    <x v="1"/>
    <x v="3"/>
    <n v="13.69"/>
    <x v="3"/>
    <n v="4.1070000000000002"/>
    <x v="760"/>
    <x v="77"/>
    <x v="451"/>
    <x v="1"/>
    <x v="760"/>
    <n v="4.7619047620000003"/>
    <n v="4.1070000000000002"/>
    <n v="6.3"/>
  </r>
  <r>
    <x v="768"/>
    <x v="2"/>
    <x v="2"/>
    <x v="1"/>
    <x v="0"/>
    <x v="1"/>
    <n v="95.64"/>
    <x v="7"/>
    <n v="19.128"/>
    <x v="761"/>
    <x v="32"/>
    <x v="370"/>
    <x v="1"/>
    <x v="761"/>
    <n v="4.7619047620000003"/>
    <n v="19.128"/>
    <n v="7.9"/>
  </r>
  <r>
    <x v="769"/>
    <x v="0"/>
    <x v="0"/>
    <x v="1"/>
    <x v="0"/>
    <x v="2"/>
    <n v="11.43"/>
    <x v="3"/>
    <n v="3.4289999999999998"/>
    <x v="762"/>
    <x v="15"/>
    <x v="45"/>
    <x v="1"/>
    <x v="762"/>
    <n v="4.7619047620000003"/>
    <n v="3.4289999999999998"/>
    <n v="7.7"/>
  </r>
  <r>
    <x v="770"/>
    <x v="2"/>
    <x v="2"/>
    <x v="0"/>
    <x v="0"/>
    <x v="3"/>
    <n v="95.54"/>
    <x v="7"/>
    <n v="19.108000000000001"/>
    <x v="763"/>
    <x v="84"/>
    <x v="452"/>
    <x v="0"/>
    <x v="763"/>
    <n v="4.7619047620000003"/>
    <n v="19.108000000000001"/>
    <n v="4.5"/>
  </r>
  <r>
    <x v="771"/>
    <x v="1"/>
    <x v="1"/>
    <x v="0"/>
    <x v="0"/>
    <x v="0"/>
    <n v="85.87"/>
    <x v="0"/>
    <n v="30.054500000000001"/>
    <x v="764"/>
    <x v="33"/>
    <x v="54"/>
    <x v="2"/>
    <x v="764"/>
    <n v="4.7619047620000003"/>
    <n v="30.054500000000001"/>
    <n v="8"/>
  </r>
  <r>
    <x v="772"/>
    <x v="1"/>
    <x v="1"/>
    <x v="0"/>
    <x v="0"/>
    <x v="3"/>
    <n v="67.989999999999995"/>
    <x v="0"/>
    <n v="23.796500000000002"/>
    <x v="765"/>
    <x v="21"/>
    <x v="453"/>
    <x v="0"/>
    <x v="765"/>
    <n v="4.7619047620000003"/>
    <n v="23.796500000000002"/>
    <n v="5.7"/>
  </r>
  <r>
    <x v="773"/>
    <x v="1"/>
    <x v="1"/>
    <x v="1"/>
    <x v="0"/>
    <x v="4"/>
    <n v="52.42"/>
    <x v="8"/>
    <n v="2.621"/>
    <x v="766"/>
    <x v="10"/>
    <x v="417"/>
    <x v="2"/>
    <x v="766"/>
    <n v="4.7619047620000003"/>
    <n v="2.621"/>
    <n v="6.3"/>
  </r>
  <r>
    <x v="774"/>
    <x v="1"/>
    <x v="1"/>
    <x v="0"/>
    <x v="1"/>
    <x v="4"/>
    <n v="65.650000000000006"/>
    <x v="5"/>
    <n v="6.5650000000000004"/>
    <x v="767"/>
    <x v="29"/>
    <x v="252"/>
    <x v="1"/>
    <x v="767"/>
    <n v="4.7619047620000003"/>
    <n v="6.5650000000000004"/>
    <n v="6"/>
  </r>
  <r>
    <x v="775"/>
    <x v="2"/>
    <x v="2"/>
    <x v="1"/>
    <x v="0"/>
    <x v="4"/>
    <n v="28.86"/>
    <x v="1"/>
    <n v="7.2149999999999999"/>
    <x v="768"/>
    <x v="49"/>
    <x v="182"/>
    <x v="2"/>
    <x v="768"/>
    <n v="4.7619047620000003"/>
    <n v="7.2149999999999999"/>
    <n v="8"/>
  </r>
  <r>
    <x v="776"/>
    <x v="1"/>
    <x v="1"/>
    <x v="0"/>
    <x v="1"/>
    <x v="0"/>
    <n v="65.31"/>
    <x v="0"/>
    <n v="22.858499999999999"/>
    <x v="769"/>
    <x v="19"/>
    <x v="454"/>
    <x v="2"/>
    <x v="769"/>
    <n v="4.7619047620000003"/>
    <n v="22.858499999999999"/>
    <n v="4.2"/>
  </r>
  <r>
    <x v="777"/>
    <x v="2"/>
    <x v="2"/>
    <x v="1"/>
    <x v="1"/>
    <x v="3"/>
    <n v="93.38"/>
    <x v="8"/>
    <n v="4.6689999999999996"/>
    <x v="770"/>
    <x v="75"/>
    <x v="270"/>
    <x v="1"/>
    <x v="770"/>
    <n v="4.7619047620000003"/>
    <n v="4.6689999999999996"/>
    <n v="9.6"/>
  </r>
  <r>
    <x v="778"/>
    <x v="1"/>
    <x v="1"/>
    <x v="0"/>
    <x v="1"/>
    <x v="3"/>
    <n v="25.25"/>
    <x v="1"/>
    <n v="6.3125"/>
    <x v="771"/>
    <x v="80"/>
    <x v="455"/>
    <x v="1"/>
    <x v="771"/>
    <n v="4.7619047620000003"/>
    <n v="6.3125"/>
    <n v="6.1"/>
  </r>
  <r>
    <x v="779"/>
    <x v="2"/>
    <x v="2"/>
    <x v="0"/>
    <x v="1"/>
    <x v="1"/>
    <n v="87.87"/>
    <x v="9"/>
    <n v="39.541499999999999"/>
    <x v="772"/>
    <x v="82"/>
    <x v="456"/>
    <x v="0"/>
    <x v="772"/>
    <n v="4.7619047620000003"/>
    <n v="39.541499999999999"/>
    <n v="5.6"/>
  </r>
  <r>
    <x v="780"/>
    <x v="1"/>
    <x v="1"/>
    <x v="1"/>
    <x v="1"/>
    <x v="0"/>
    <n v="21.8"/>
    <x v="2"/>
    <n v="8.7200000000000006"/>
    <x v="773"/>
    <x v="88"/>
    <x v="225"/>
    <x v="1"/>
    <x v="773"/>
    <n v="4.7619047620000003"/>
    <n v="8.7200000000000006"/>
    <n v="8.3000000000000007"/>
  </r>
  <r>
    <x v="781"/>
    <x v="0"/>
    <x v="0"/>
    <x v="1"/>
    <x v="0"/>
    <x v="3"/>
    <n v="94.76"/>
    <x v="7"/>
    <n v="18.952000000000002"/>
    <x v="774"/>
    <x v="48"/>
    <x v="432"/>
    <x v="0"/>
    <x v="774"/>
    <n v="4.7619047620000003"/>
    <n v="18.952000000000002"/>
    <n v="7.8"/>
  </r>
  <r>
    <x v="782"/>
    <x v="0"/>
    <x v="0"/>
    <x v="0"/>
    <x v="0"/>
    <x v="5"/>
    <n v="30.62"/>
    <x v="8"/>
    <n v="1.5309999999999999"/>
    <x v="775"/>
    <x v="63"/>
    <x v="341"/>
    <x v="2"/>
    <x v="775"/>
    <n v="4.7619047620000003"/>
    <n v="1.5309999999999999"/>
    <n v="4.0999999999999996"/>
  </r>
  <r>
    <x v="783"/>
    <x v="1"/>
    <x v="1"/>
    <x v="1"/>
    <x v="0"/>
    <x v="2"/>
    <n v="44.01"/>
    <x v="2"/>
    <n v="17.603999999999999"/>
    <x v="776"/>
    <x v="2"/>
    <x v="24"/>
    <x v="1"/>
    <x v="776"/>
    <n v="4.7619047620000003"/>
    <n v="17.603999999999999"/>
    <n v="8.8000000000000007"/>
  </r>
  <r>
    <x v="784"/>
    <x v="1"/>
    <x v="1"/>
    <x v="0"/>
    <x v="0"/>
    <x v="0"/>
    <n v="10.16"/>
    <x v="1"/>
    <n v="2.54"/>
    <x v="777"/>
    <x v="7"/>
    <x v="0"/>
    <x v="0"/>
    <x v="777"/>
    <n v="4.7619047620000003"/>
    <n v="2.54"/>
    <n v="4.0999999999999996"/>
  </r>
  <r>
    <x v="785"/>
    <x v="0"/>
    <x v="0"/>
    <x v="1"/>
    <x v="1"/>
    <x v="1"/>
    <n v="74.58"/>
    <x v="0"/>
    <n v="26.103000000000002"/>
    <x v="778"/>
    <x v="87"/>
    <x v="457"/>
    <x v="2"/>
    <x v="778"/>
    <n v="4.7619047620000003"/>
    <n v="26.103000000000002"/>
    <n v="9"/>
  </r>
  <r>
    <x v="786"/>
    <x v="1"/>
    <x v="1"/>
    <x v="1"/>
    <x v="1"/>
    <x v="1"/>
    <n v="71.89"/>
    <x v="2"/>
    <n v="28.756"/>
    <x v="779"/>
    <x v="88"/>
    <x v="458"/>
    <x v="0"/>
    <x v="779"/>
    <n v="4.7619047620000003"/>
    <n v="28.756"/>
    <n v="5.5"/>
  </r>
  <r>
    <x v="787"/>
    <x v="1"/>
    <x v="1"/>
    <x v="1"/>
    <x v="0"/>
    <x v="0"/>
    <n v="10.99"/>
    <x v="1"/>
    <n v="2.7475000000000001"/>
    <x v="780"/>
    <x v="54"/>
    <x v="392"/>
    <x v="2"/>
    <x v="780"/>
    <n v="4.7619047620000003"/>
    <n v="2.7475000000000001"/>
    <n v="9.3000000000000007"/>
  </r>
  <r>
    <x v="788"/>
    <x v="1"/>
    <x v="1"/>
    <x v="0"/>
    <x v="1"/>
    <x v="0"/>
    <n v="60.47"/>
    <x v="6"/>
    <n v="9.0704999999999991"/>
    <x v="781"/>
    <x v="78"/>
    <x v="60"/>
    <x v="2"/>
    <x v="781"/>
    <n v="4.7619047620000003"/>
    <n v="9.0704999999999991"/>
    <n v="5.6"/>
  </r>
  <r>
    <x v="789"/>
    <x v="0"/>
    <x v="0"/>
    <x v="1"/>
    <x v="1"/>
    <x v="3"/>
    <n v="58.91"/>
    <x v="0"/>
    <n v="20.618500000000001"/>
    <x v="782"/>
    <x v="29"/>
    <x v="459"/>
    <x v="0"/>
    <x v="782"/>
    <n v="4.7619047620000003"/>
    <n v="20.618500000000001"/>
    <n v="9.6999999999999993"/>
  </r>
  <r>
    <x v="790"/>
    <x v="0"/>
    <x v="0"/>
    <x v="1"/>
    <x v="1"/>
    <x v="5"/>
    <n v="46.41"/>
    <x v="8"/>
    <n v="2.3205"/>
    <x v="783"/>
    <x v="2"/>
    <x v="460"/>
    <x v="2"/>
    <x v="783"/>
    <n v="4.7619047620000003"/>
    <n v="2.3205"/>
    <n v="4"/>
  </r>
  <r>
    <x v="791"/>
    <x v="1"/>
    <x v="1"/>
    <x v="0"/>
    <x v="1"/>
    <x v="0"/>
    <n v="68.55"/>
    <x v="7"/>
    <n v="13.71"/>
    <x v="784"/>
    <x v="42"/>
    <x v="277"/>
    <x v="2"/>
    <x v="784"/>
    <n v="4.7619047620000003"/>
    <n v="13.71"/>
    <n v="9.1999999999999993"/>
  </r>
  <r>
    <x v="792"/>
    <x v="2"/>
    <x v="2"/>
    <x v="1"/>
    <x v="0"/>
    <x v="2"/>
    <n v="97.37"/>
    <x v="4"/>
    <n v="48.685000000000002"/>
    <x v="785"/>
    <x v="15"/>
    <x v="128"/>
    <x v="2"/>
    <x v="785"/>
    <n v="4.7619047620000003"/>
    <n v="48.685000000000002"/>
    <n v="4.9000000000000004"/>
  </r>
  <r>
    <x v="793"/>
    <x v="0"/>
    <x v="0"/>
    <x v="0"/>
    <x v="1"/>
    <x v="1"/>
    <n v="92.6"/>
    <x v="0"/>
    <n v="32.409999999999997"/>
    <x v="786"/>
    <x v="33"/>
    <x v="299"/>
    <x v="2"/>
    <x v="786"/>
    <n v="4.7619047620000003"/>
    <n v="32.409999999999997"/>
    <n v="9.3000000000000007"/>
  </r>
  <r>
    <x v="794"/>
    <x v="0"/>
    <x v="0"/>
    <x v="1"/>
    <x v="0"/>
    <x v="1"/>
    <n v="46.61"/>
    <x v="5"/>
    <n v="4.6609999999999996"/>
    <x v="787"/>
    <x v="84"/>
    <x v="35"/>
    <x v="2"/>
    <x v="787"/>
    <n v="4.7619047620000003"/>
    <n v="4.6609999999999996"/>
    <n v="6.6"/>
  </r>
  <r>
    <x v="795"/>
    <x v="2"/>
    <x v="2"/>
    <x v="1"/>
    <x v="1"/>
    <x v="5"/>
    <n v="27.18"/>
    <x v="5"/>
    <n v="2.718"/>
    <x v="788"/>
    <x v="20"/>
    <x v="461"/>
    <x v="0"/>
    <x v="788"/>
    <n v="4.7619047620000003"/>
    <n v="2.718"/>
    <n v="4.3"/>
  </r>
  <r>
    <x v="796"/>
    <x v="1"/>
    <x v="1"/>
    <x v="0"/>
    <x v="0"/>
    <x v="2"/>
    <n v="60.87"/>
    <x v="8"/>
    <n v="3.0434999999999999"/>
    <x v="789"/>
    <x v="46"/>
    <x v="38"/>
    <x v="1"/>
    <x v="789"/>
    <n v="4.7619047620000003"/>
    <n v="3.0434999999999999"/>
    <n v="5.5"/>
  </r>
  <r>
    <x v="797"/>
    <x v="0"/>
    <x v="0"/>
    <x v="0"/>
    <x v="0"/>
    <x v="3"/>
    <n v="24.49"/>
    <x v="4"/>
    <n v="12.244999999999999"/>
    <x v="790"/>
    <x v="70"/>
    <x v="459"/>
    <x v="1"/>
    <x v="790"/>
    <n v="4.7619047620000003"/>
    <n v="12.244999999999999"/>
    <n v="8.1"/>
  </r>
  <r>
    <x v="798"/>
    <x v="2"/>
    <x v="2"/>
    <x v="1"/>
    <x v="1"/>
    <x v="0"/>
    <n v="92.78"/>
    <x v="8"/>
    <n v="4.6390000000000002"/>
    <x v="791"/>
    <x v="20"/>
    <x v="155"/>
    <x v="2"/>
    <x v="791"/>
    <n v="4.7619047620000003"/>
    <n v="4.6390000000000002"/>
    <n v="9.8000000000000007"/>
  </r>
  <r>
    <x v="799"/>
    <x v="1"/>
    <x v="1"/>
    <x v="0"/>
    <x v="1"/>
    <x v="2"/>
    <n v="86.69"/>
    <x v="1"/>
    <n v="21.672499999999999"/>
    <x v="792"/>
    <x v="48"/>
    <x v="462"/>
    <x v="0"/>
    <x v="792"/>
    <n v="4.7619047620000003"/>
    <n v="21.672499999999999"/>
    <n v="9.4"/>
  </r>
  <r>
    <x v="800"/>
    <x v="2"/>
    <x v="2"/>
    <x v="1"/>
    <x v="1"/>
    <x v="3"/>
    <n v="23.01"/>
    <x v="3"/>
    <n v="6.9029999999999996"/>
    <x v="793"/>
    <x v="52"/>
    <x v="463"/>
    <x v="0"/>
    <x v="793"/>
    <n v="4.7619047620000003"/>
    <n v="6.9029999999999996"/>
    <n v="7.9"/>
  </r>
  <r>
    <x v="801"/>
    <x v="1"/>
    <x v="1"/>
    <x v="0"/>
    <x v="0"/>
    <x v="1"/>
    <n v="30.2"/>
    <x v="2"/>
    <n v="12.08"/>
    <x v="794"/>
    <x v="2"/>
    <x v="171"/>
    <x v="0"/>
    <x v="794"/>
    <n v="4.7619047620000003"/>
    <n v="12.08"/>
    <n v="5.0999999999999996"/>
  </r>
  <r>
    <x v="802"/>
    <x v="1"/>
    <x v="1"/>
    <x v="0"/>
    <x v="1"/>
    <x v="5"/>
    <n v="67.39"/>
    <x v="0"/>
    <n v="23.586500000000001"/>
    <x v="795"/>
    <x v="28"/>
    <x v="2"/>
    <x v="0"/>
    <x v="795"/>
    <n v="4.7619047620000003"/>
    <n v="23.586500000000001"/>
    <n v="6.9"/>
  </r>
  <r>
    <x v="803"/>
    <x v="0"/>
    <x v="0"/>
    <x v="0"/>
    <x v="0"/>
    <x v="5"/>
    <n v="48.96"/>
    <x v="9"/>
    <n v="22.032"/>
    <x v="796"/>
    <x v="31"/>
    <x v="94"/>
    <x v="1"/>
    <x v="796"/>
    <n v="4.7619047620000003"/>
    <n v="22.032"/>
    <n v="8"/>
  </r>
  <r>
    <x v="804"/>
    <x v="2"/>
    <x v="2"/>
    <x v="0"/>
    <x v="0"/>
    <x v="1"/>
    <n v="75.59"/>
    <x v="9"/>
    <n v="34.015500000000003"/>
    <x v="797"/>
    <x v="55"/>
    <x v="289"/>
    <x v="1"/>
    <x v="797"/>
    <n v="4.7619047620000003"/>
    <n v="34.015500000000003"/>
    <n v="8"/>
  </r>
  <r>
    <x v="805"/>
    <x v="0"/>
    <x v="0"/>
    <x v="1"/>
    <x v="0"/>
    <x v="2"/>
    <n v="77.47"/>
    <x v="7"/>
    <n v="15.494"/>
    <x v="798"/>
    <x v="85"/>
    <x v="345"/>
    <x v="1"/>
    <x v="798"/>
    <n v="4.7619047620000003"/>
    <n v="15.494"/>
    <n v="4.2"/>
  </r>
  <r>
    <x v="806"/>
    <x v="0"/>
    <x v="0"/>
    <x v="1"/>
    <x v="0"/>
    <x v="3"/>
    <n v="93.18"/>
    <x v="5"/>
    <n v="9.3179999999999996"/>
    <x v="799"/>
    <x v="65"/>
    <x v="464"/>
    <x v="2"/>
    <x v="799"/>
    <n v="4.7619047620000003"/>
    <n v="9.3179999999999996"/>
    <n v="8.5"/>
  </r>
  <r>
    <x v="807"/>
    <x v="0"/>
    <x v="0"/>
    <x v="1"/>
    <x v="0"/>
    <x v="1"/>
    <n v="50.23"/>
    <x v="7"/>
    <n v="10.045999999999999"/>
    <x v="800"/>
    <x v="66"/>
    <x v="465"/>
    <x v="1"/>
    <x v="800"/>
    <n v="4.7619047620000003"/>
    <n v="10.045999999999999"/>
    <n v="9"/>
  </r>
  <r>
    <x v="808"/>
    <x v="2"/>
    <x v="2"/>
    <x v="1"/>
    <x v="0"/>
    <x v="0"/>
    <n v="17.75"/>
    <x v="8"/>
    <n v="0.88749999999999996"/>
    <x v="801"/>
    <x v="78"/>
    <x v="440"/>
    <x v="1"/>
    <x v="801"/>
    <n v="4.7619047620000003"/>
    <n v="0.88749999999999996"/>
    <n v="8.6"/>
  </r>
  <r>
    <x v="809"/>
    <x v="1"/>
    <x v="1"/>
    <x v="1"/>
    <x v="0"/>
    <x v="5"/>
    <n v="62.18"/>
    <x v="4"/>
    <n v="31.09"/>
    <x v="802"/>
    <x v="82"/>
    <x v="373"/>
    <x v="0"/>
    <x v="802"/>
    <n v="4.7619047620000003"/>
    <n v="31.09"/>
    <n v="6"/>
  </r>
  <r>
    <x v="810"/>
    <x v="2"/>
    <x v="2"/>
    <x v="1"/>
    <x v="1"/>
    <x v="0"/>
    <n v="10.75"/>
    <x v="2"/>
    <n v="4.3"/>
    <x v="803"/>
    <x v="20"/>
    <x v="242"/>
    <x v="0"/>
    <x v="803"/>
    <n v="4.7619047620000003"/>
    <n v="4.3"/>
    <n v="6.2"/>
  </r>
  <r>
    <x v="811"/>
    <x v="0"/>
    <x v="0"/>
    <x v="1"/>
    <x v="0"/>
    <x v="1"/>
    <n v="40.26"/>
    <x v="4"/>
    <n v="20.13"/>
    <x v="804"/>
    <x v="7"/>
    <x v="191"/>
    <x v="2"/>
    <x v="804"/>
    <n v="4.7619047620000003"/>
    <n v="20.13"/>
    <n v="5"/>
  </r>
  <r>
    <x v="812"/>
    <x v="1"/>
    <x v="1"/>
    <x v="0"/>
    <x v="0"/>
    <x v="3"/>
    <n v="64.97"/>
    <x v="1"/>
    <n v="16.2425"/>
    <x v="805"/>
    <x v="4"/>
    <x v="299"/>
    <x v="2"/>
    <x v="805"/>
    <n v="4.7619047620000003"/>
    <n v="16.2425"/>
    <n v="6.5"/>
  </r>
  <r>
    <x v="813"/>
    <x v="0"/>
    <x v="0"/>
    <x v="1"/>
    <x v="1"/>
    <x v="1"/>
    <n v="95.15"/>
    <x v="8"/>
    <n v="4.7575000000000003"/>
    <x v="806"/>
    <x v="23"/>
    <x v="466"/>
    <x v="1"/>
    <x v="806"/>
    <n v="4.7619047620000003"/>
    <n v="4.7575000000000003"/>
    <n v="6"/>
  </r>
  <r>
    <x v="814"/>
    <x v="0"/>
    <x v="0"/>
    <x v="0"/>
    <x v="0"/>
    <x v="1"/>
    <n v="48.62"/>
    <x v="2"/>
    <n v="19.448"/>
    <x v="807"/>
    <x v="46"/>
    <x v="315"/>
    <x v="1"/>
    <x v="807"/>
    <n v="4.7619047620000003"/>
    <n v="19.448"/>
    <n v="5"/>
  </r>
  <r>
    <x v="815"/>
    <x v="2"/>
    <x v="2"/>
    <x v="1"/>
    <x v="0"/>
    <x v="4"/>
    <n v="53.21"/>
    <x v="2"/>
    <n v="21.283999999999999"/>
    <x v="808"/>
    <x v="86"/>
    <x v="463"/>
    <x v="0"/>
    <x v="808"/>
    <n v="4.7619047620000003"/>
    <n v="21.283999999999999"/>
    <n v="5"/>
  </r>
  <r>
    <x v="816"/>
    <x v="1"/>
    <x v="1"/>
    <x v="1"/>
    <x v="0"/>
    <x v="5"/>
    <n v="45.44"/>
    <x v="0"/>
    <n v="15.904"/>
    <x v="809"/>
    <x v="54"/>
    <x v="23"/>
    <x v="1"/>
    <x v="809"/>
    <n v="4.7619047620000003"/>
    <n v="15.904"/>
    <n v="9.1999999999999993"/>
  </r>
  <r>
    <x v="817"/>
    <x v="0"/>
    <x v="0"/>
    <x v="1"/>
    <x v="1"/>
    <x v="4"/>
    <n v="33.880000000000003"/>
    <x v="2"/>
    <n v="13.552"/>
    <x v="810"/>
    <x v="64"/>
    <x v="245"/>
    <x v="0"/>
    <x v="810"/>
    <n v="4.7619047620000003"/>
    <n v="13.552"/>
    <n v="9.6"/>
  </r>
  <r>
    <x v="818"/>
    <x v="2"/>
    <x v="2"/>
    <x v="0"/>
    <x v="1"/>
    <x v="0"/>
    <n v="96.16"/>
    <x v="7"/>
    <n v="19.231999999999999"/>
    <x v="811"/>
    <x v="3"/>
    <x v="356"/>
    <x v="2"/>
    <x v="811"/>
    <n v="4.7619047620000003"/>
    <n v="19.231999999999999"/>
    <n v="8.4"/>
  </r>
  <r>
    <x v="819"/>
    <x v="2"/>
    <x v="2"/>
    <x v="0"/>
    <x v="1"/>
    <x v="4"/>
    <n v="47.16"/>
    <x v="1"/>
    <n v="11.79"/>
    <x v="812"/>
    <x v="36"/>
    <x v="63"/>
    <x v="2"/>
    <x v="812"/>
    <n v="4.7619047620000003"/>
    <n v="11.79"/>
    <n v="6"/>
  </r>
  <r>
    <x v="820"/>
    <x v="2"/>
    <x v="2"/>
    <x v="1"/>
    <x v="1"/>
    <x v="1"/>
    <n v="52.89"/>
    <x v="7"/>
    <n v="10.577999999999999"/>
    <x v="813"/>
    <x v="5"/>
    <x v="467"/>
    <x v="0"/>
    <x v="813"/>
    <n v="4.7619047620000003"/>
    <n v="10.577999999999999"/>
    <n v="6.7"/>
  </r>
  <r>
    <x v="821"/>
    <x v="0"/>
    <x v="0"/>
    <x v="0"/>
    <x v="0"/>
    <x v="2"/>
    <n v="47.68"/>
    <x v="5"/>
    <n v="4.7679999999999998"/>
    <x v="814"/>
    <x v="7"/>
    <x v="468"/>
    <x v="2"/>
    <x v="814"/>
    <n v="4.7619047620000003"/>
    <n v="4.7679999999999998"/>
    <n v="4.0999999999999996"/>
  </r>
  <r>
    <x v="822"/>
    <x v="1"/>
    <x v="1"/>
    <x v="0"/>
    <x v="1"/>
    <x v="3"/>
    <n v="10.17"/>
    <x v="8"/>
    <n v="0.50849999999999995"/>
    <x v="815"/>
    <x v="13"/>
    <x v="331"/>
    <x v="1"/>
    <x v="815"/>
    <n v="4.7619047620000003"/>
    <n v="0.50849999999999995"/>
    <n v="5.9"/>
  </r>
  <r>
    <x v="823"/>
    <x v="0"/>
    <x v="0"/>
    <x v="1"/>
    <x v="0"/>
    <x v="0"/>
    <n v="68.709999999999994"/>
    <x v="6"/>
    <n v="10.3065"/>
    <x v="816"/>
    <x v="31"/>
    <x v="469"/>
    <x v="1"/>
    <x v="816"/>
    <n v="4.7619047620000003"/>
    <n v="10.3065"/>
    <n v="8.6999999999999993"/>
  </r>
  <r>
    <x v="824"/>
    <x v="2"/>
    <x v="2"/>
    <x v="0"/>
    <x v="0"/>
    <x v="3"/>
    <n v="60.08"/>
    <x v="0"/>
    <n v="21.027999999999999"/>
    <x v="817"/>
    <x v="44"/>
    <x v="150"/>
    <x v="2"/>
    <x v="817"/>
    <n v="4.7619047620000003"/>
    <n v="21.027999999999999"/>
    <n v="4.5"/>
  </r>
  <r>
    <x v="825"/>
    <x v="0"/>
    <x v="0"/>
    <x v="0"/>
    <x v="0"/>
    <x v="3"/>
    <n v="22.01"/>
    <x v="7"/>
    <n v="4.4020000000000001"/>
    <x v="818"/>
    <x v="71"/>
    <x v="470"/>
    <x v="2"/>
    <x v="818"/>
    <n v="4.7619047620000003"/>
    <n v="4.4020000000000001"/>
    <n v="6.6"/>
  </r>
  <r>
    <x v="826"/>
    <x v="2"/>
    <x v="2"/>
    <x v="0"/>
    <x v="0"/>
    <x v="0"/>
    <n v="72.11"/>
    <x v="9"/>
    <n v="32.4495"/>
    <x v="819"/>
    <x v="26"/>
    <x v="318"/>
    <x v="2"/>
    <x v="819"/>
    <n v="4.7619047620000003"/>
    <n v="32.4495"/>
    <n v="7.7"/>
  </r>
  <r>
    <x v="827"/>
    <x v="0"/>
    <x v="0"/>
    <x v="0"/>
    <x v="1"/>
    <x v="5"/>
    <n v="41.28"/>
    <x v="6"/>
    <n v="6.1920000000000002"/>
    <x v="820"/>
    <x v="58"/>
    <x v="78"/>
    <x v="2"/>
    <x v="820"/>
    <n v="4.7619047620000003"/>
    <n v="6.1920000000000002"/>
    <n v="8.5"/>
  </r>
  <r>
    <x v="828"/>
    <x v="1"/>
    <x v="1"/>
    <x v="1"/>
    <x v="1"/>
    <x v="1"/>
    <n v="64.95"/>
    <x v="4"/>
    <n v="32.475000000000001"/>
    <x v="821"/>
    <x v="62"/>
    <x v="185"/>
    <x v="1"/>
    <x v="821"/>
    <n v="4.7619047620000003"/>
    <n v="32.475000000000001"/>
    <n v="5.2"/>
  </r>
  <r>
    <x v="829"/>
    <x v="0"/>
    <x v="0"/>
    <x v="0"/>
    <x v="0"/>
    <x v="1"/>
    <n v="74.22"/>
    <x v="4"/>
    <n v="37.11"/>
    <x v="822"/>
    <x v="17"/>
    <x v="51"/>
    <x v="2"/>
    <x v="822"/>
    <n v="4.7619047620000003"/>
    <n v="37.11"/>
    <n v="4.3"/>
  </r>
  <r>
    <x v="830"/>
    <x v="0"/>
    <x v="0"/>
    <x v="1"/>
    <x v="1"/>
    <x v="1"/>
    <n v="10.56"/>
    <x v="2"/>
    <n v="4.2240000000000002"/>
    <x v="823"/>
    <x v="46"/>
    <x v="255"/>
    <x v="1"/>
    <x v="823"/>
    <n v="4.7619047620000003"/>
    <n v="4.2240000000000002"/>
    <n v="7.6"/>
  </r>
  <r>
    <x v="831"/>
    <x v="2"/>
    <x v="2"/>
    <x v="1"/>
    <x v="1"/>
    <x v="0"/>
    <n v="62.57"/>
    <x v="7"/>
    <n v="12.513999999999999"/>
    <x v="824"/>
    <x v="6"/>
    <x v="78"/>
    <x v="1"/>
    <x v="824"/>
    <n v="4.7619047620000003"/>
    <n v="12.513999999999999"/>
    <n v="9.5"/>
  </r>
  <r>
    <x v="832"/>
    <x v="2"/>
    <x v="2"/>
    <x v="0"/>
    <x v="0"/>
    <x v="3"/>
    <n v="11.85"/>
    <x v="2"/>
    <n v="4.74"/>
    <x v="825"/>
    <x v="51"/>
    <x v="414"/>
    <x v="1"/>
    <x v="825"/>
    <n v="4.7619047620000003"/>
    <n v="4.74"/>
    <n v="4.0999999999999996"/>
  </r>
  <r>
    <x v="833"/>
    <x v="0"/>
    <x v="0"/>
    <x v="0"/>
    <x v="1"/>
    <x v="0"/>
    <n v="91.3"/>
    <x v="8"/>
    <n v="4.5650000000000004"/>
    <x v="826"/>
    <x v="44"/>
    <x v="51"/>
    <x v="0"/>
    <x v="826"/>
    <n v="4.7619047620000003"/>
    <n v="4.5650000000000004"/>
    <n v="9.1999999999999993"/>
  </r>
  <r>
    <x v="834"/>
    <x v="2"/>
    <x v="2"/>
    <x v="0"/>
    <x v="0"/>
    <x v="2"/>
    <n v="40.729999999999997"/>
    <x v="0"/>
    <n v="14.2555"/>
    <x v="827"/>
    <x v="41"/>
    <x v="471"/>
    <x v="0"/>
    <x v="827"/>
    <n v="4.7619047620000003"/>
    <n v="14.2555"/>
    <n v="5.4"/>
  </r>
  <r>
    <x v="835"/>
    <x v="0"/>
    <x v="0"/>
    <x v="1"/>
    <x v="1"/>
    <x v="5"/>
    <n v="52.38"/>
    <x v="8"/>
    <n v="2.6190000000000002"/>
    <x v="828"/>
    <x v="58"/>
    <x v="143"/>
    <x v="1"/>
    <x v="828"/>
    <n v="4.7619047620000003"/>
    <n v="2.6190000000000002"/>
    <n v="5.8"/>
  </r>
  <r>
    <x v="836"/>
    <x v="0"/>
    <x v="0"/>
    <x v="0"/>
    <x v="1"/>
    <x v="5"/>
    <n v="38.54"/>
    <x v="1"/>
    <n v="9.6349999999999998"/>
    <x v="829"/>
    <x v="51"/>
    <x v="229"/>
    <x v="0"/>
    <x v="829"/>
    <n v="4.7619047620000003"/>
    <n v="9.6349999999999998"/>
    <n v="5.6"/>
  </r>
  <r>
    <x v="837"/>
    <x v="2"/>
    <x v="2"/>
    <x v="1"/>
    <x v="1"/>
    <x v="3"/>
    <n v="44.63"/>
    <x v="3"/>
    <n v="13.388999999999999"/>
    <x v="830"/>
    <x v="56"/>
    <x v="390"/>
    <x v="2"/>
    <x v="830"/>
    <n v="4.7619047620000003"/>
    <n v="13.388999999999999"/>
    <n v="5.0999999999999996"/>
  </r>
  <r>
    <x v="838"/>
    <x v="1"/>
    <x v="1"/>
    <x v="1"/>
    <x v="1"/>
    <x v="1"/>
    <n v="55.87"/>
    <x v="4"/>
    <n v="27.934999999999999"/>
    <x v="831"/>
    <x v="15"/>
    <x v="66"/>
    <x v="1"/>
    <x v="831"/>
    <n v="4.7619047620000003"/>
    <n v="27.934999999999999"/>
    <n v="5.8"/>
  </r>
  <r>
    <x v="839"/>
    <x v="1"/>
    <x v="1"/>
    <x v="0"/>
    <x v="0"/>
    <x v="3"/>
    <n v="29.22"/>
    <x v="3"/>
    <n v="8.766"/>
    <x v="832"/>
    <x v="17"/>
    <x v="335"/>
    <x v="0"/>
    <x v="832"/>
    <n v="4.7619047620000003"/>
    <n v="8.766"/>
    <n v="5"/>
  </r>
  <r>
    <x v="840"/>
    <x v="0"/>
    <x v="0"/>
    <x v="1"/>
    <x v="1"/>
    <x v="5"/>
    <n v="51.94"/>
    <x v="6"/>
    <n v="7.7910000000000004"/>
    <x v="833"/>
    <x v="42"/>
    <x v="472"/>
    <x v="1"/>
    <x v="833"/>
    <n v="4.7619047620000003"/>
    <n v="7.7910000000000004"/>
    <n v="7.9"/>
  </r>
  <r>
    <x v="841"/>
    <x v="2"/>
    <x v="2"/>
    <x v="1"/>
    <x v="1"/>
    <x v="1"/>
    <n v="60.3"/>
    <x v="8"/>
    <n v="3.0150000000000001"/>
    <x v="834"/>
    <x v="38"/>
    <x v="180"/>
    <x v="1"/>
    <x v="834"/>
    <n v="4.7619047620000003"/>
    <n v="3.0150000000000001"/>
    <n v="6"/>
  </r>
  <r>
    <x v="842"/>
    <x v="0"/>
    <x v="0"/>
    <x v="0"/>
    <x v="0"/>
    <x v="3"/>
    <n v="39.47"/>
    <x v="5"/>
    <n v="3.9470000000000001"/>
    <x v="835"/>
    <x v="22"/>
    <x v="473"/>
    <x v="2"/>
    <x v="835"/>
    <n v="4.7619047620000003"/>
    <n v="3.9470000000000001"/>
    <n v="5"/>
  </r>
  <r>
    <x v="843"/>
    <x v="1"/>
    <x v="1"/>
    <x v="0"/>
    <x v="0"/>
    <x v="4"/>
    <n v="14.87"/>
    <x v="5"/>
    <n v="1.4870000000000001"/>
    <x v="836"/>
    <x v="77"/>
    <x v="470"/>
    <x v="2"/>
    <x v="836"/>
    <n v="4.7619047620000003"/>
    <n v="1.4870000000000001"/>
    <n v="8.9"/>
  </r>
  <r>
    <x v="844"/>
    <x v="0"/>
    <x v="0"/>
    <x v="1"/>
    <x v="1"/>
    <x v="5"/>
    <n v="21.32"/>
    <x v="8"/>
    <n v="1.0660000000000001"/>
    <x v="837"/>
    <x v="53"/>
    <x v="31"/>
    <x v="1"/>
    <x v="837"/>
    <n v="4.7619047620000003"/>
    <n v="1.0660000000000001"/>
    <n v="5.9"/>
  </r>
  <r>
    <x v="845"/>
    <x v="0"/>
    <x v="0"/>
    <x v="0"/>
    <x v="1"/>
    <x v="1"/>
    <n v="93.78"/>
    <x v="6"/>
    <n v="14.067"/>
    <x v="838"/>
    <x v="74"/>
    <x v="102"/>
    <x v="2"/>
    <x v="838"/>
    <n v="4.7619047620000003"/>
    <n v="14.067"/>
    <n v="5.9"/>
  </r>
  <r>
    <x v="846"/>
    <x v="0"/>
    <x v="0"/>
    <x v="0"/>
    <x v="1"/>
    <x v="1"/>
    <n v="73.260000000000005"/>
    <x v="8"/>
    <n v="3.6629999999999998"/>
    <x v="839"/>
    <x v="3"/>
    <x v="182"/>
    <x v="0"/>
    <x v="839"/>
    <n v="4.7619047620000003"/>
    <n v="3.6629999999999998"/>
    <n v="9.6999999999999993"/>
  </r>
  <r>
    <x v="847"/>
    <x v="1"/>
    <x v="1"/>
    <x v="1"/>
    <x v="0"/>
    <x v="3"/>
    <n v="22.38"/>
    <x v="8"/>
    <n v="1.119"/>
    <x v="840"/>
    <x v="74"/>
    <x v="48"/>
    <x v="2"/>
    <x v="840"/>
    <n v="4.7619047620000003"/>
    <n v="1.119"/>
    <n v="8.6"/>
  </r>
  <r>
    <x v="848"/>
    <x v="1"/>
    <x v="1"/>
    <x v="0"/>
    <x v="0"/>
    <x v="4"/>
    <n v="72.88"/>
    <x v="9"/>
    <n v="32.795999999999999"/>
    <x v="841"/>
    <x v="66"/>
    <x v="371"/>
    <x v="1"/>
    <x v="841"/>
    <n v="4.7619047620000003"/>
    <n v="32.795999999999999"/>
    <n v="4"/>
  </r>
  <r>
    <x v="849"/>
    <x v="0"/>
    <x v="0"/>
    <x v="1"/>
    <x v="0"/>
    <x v="5"/>
    <n v="99.1"/>
    <x v="3"/>
    <n v="29.73"/>
    <x v="842"/>
    <x v="64"/>
    <x v="90"/>
    <x v="1"/>
    <x v="842"/>
    <n v="4.7619047620000003"/>
    <n v="29.73"/>
    <n v="4.2"/>
  </r>
  <r>
    <x v="850"/>
    <x v="0"/>
    <x v="0"/>
    <x v="1"/>
    <x v="1"/>
    <x v="5"/>
    <n v="74.099999999999994"/>
    <x v="8"/>
    <n v="3.7050000000000001"/>
    <x v="843"/>
    <x v="25"/>
    <x v="474"/>
    <x v="1"/>
    <x v="843"/>
    <n v="4.7619047620000003"/>
    <n v="3.7050000000000001"/>
    <n v="9.1999999999999993"/>
  </r>
  <r>
    <x v="851"/>
    <x v="0"/>
    <x v="0"/>
    <x v="1"/>
    <x v="0"/>
    <x v="5"/>
    <n v="98.48"/>
    <x v="5"/>
    <n v="9.8480000000000008"/>
    <x v="844"/>
    <x v="88"/>
    <x v="33"/>
    <x v="0"/>
    <x v="844"/>
    <n v="4.7619047620000003"/>
    <n v="9.8480000000000008"/>
    <n v="9.1999999999999993"/>
  </r>
  <r>
    <x v="852"/>
    <x v="1"/>
    <x v="1"/>
    <x v="1"/>
    <x v="1"/>
    <x v="0"/>
    <n v="53.19"/>
    <x v="0"/>
    <n v="18.616499999999998"/>
    <x v="845"/>
    <x v="78"/>
    <x v="324"/>
    <x v="0"/>
    <x v="845"/>
    <n v="4.7619047620000003"/>
    <n v="18.616499999999998"/>
    <n v="5"/>
  </r>
  <r>
    <x v="853"/>
    <x v="2"/>
    <x v="2"/>
    <x v="1"/>
    <x v="0"/>
    <x v="1"/>
    <n v="52.79"/>
    <x v="4"/>
    <n v="26.395"/>
    <x v="846"/>
    <x v="6"/>
    <x v="452"/>
    <x v="0"/>
    <x v="846"/>
    <n v="4.7619047620000003"/>
    <n v="26.395"/>
    <n v="10"/>
  </r>
  <r>
    <x v="854"/>
    <x v="0"/>
    <x v="0"/>
    <x v="0"/>
    <x v="0"/>
    <x v="0"/>
    <n v="95.95"/>
    <x v="1"/>
    <n v="23.987500000000001"/>
    <x v="847"/>
    <x v="54"/>
    <x v="239"/>
    <x v="0"/>
    <x v="847"/>
    <n v="4.7619047620000003"/>
    <n v="23.987500000000001"/>
    <n v="8.8000000000000007"/>
  </r>
  <r>
    <x v="855"/>
    <x v="2"/>
    <x v="2"/>
    <x v="1"/>
    <x v="0"/>
    <x v="5"/>
    <n v="36.51"/>
    <x v="9"/>
    <n v="16.429500000000001"/>
    <x v="848"/>
    <x v="69"/>
    <x v="196"/>
    <x v="1"/>
    <x v="848"/>
    <n v="4.7619047620000003"/>
    <n v="16.429500000000001"/>
    <n v="4.2"/>
  </r>
  <r>
    <x v="856"/>
    <x v="2"/>
    <x v="2"/>
    <x v="1"/>
    <x v="1"/>
    <x v="4"/>
    <n v="21.12"/>
    <x v="2"/>
    <n v="8.4480000000000004"/>
    <x v="849"/>
    <x v="17"/>
    <x v="475"/>
    <x v="1"/>
    <x v="849"/>
    <n v="4.7619047620000003"/>
    <n v="8.4480000000000004"/>
    <n v="6.3"/>
  </r>
  <r>
    <x v="857"/>
    <x v="0"/>
    <x v="0"/>
    <x v="0"/>
    <x v="0"/>
    <x v="2"/>
    <n v="28.31"/>
    <x v="7"/>
    <n v="5.6619999999999999"/>
    <x v="850"/>
    <x v="37"/>
    <x v="476"/>
    <x v="1"/>
    <x v="850"/>
    <n v="4.7619047620000003"/>
    <n v="5.6619999999999999"/>
    <n v="8.1999999999999993"/>
  </r>
  <r>
    <x v="858"/>
    <x v="2"/>
    <x v="2"/>
    <x v="1"/>
    <x v="1"/>
    <x v="0"/>
    <n v="57.59"/>
    <x v="3"/>
    <n v="17.277000000000001"/>
    <x v="851"/>
    <x v="42"/>
    <x v="477"/>
    <x v="1"/>
    <x v="851"/>
    <n v="4.7619047620000003"/>
    <n v="17.277000000000001"/>
    <n v="5.0999999999999996"/>
  </r>
  <r>
    <x v="859"/>
    <x v="0"/>
    <x v="0"/>
    <x v="0"/>
    <x v="0"/>
    <x v="4"/>
    <n v="47.63"/>
    <x v="9"/>
    <n v="21.433499999999999"/>
    <x v="852"/>
    <x v="54"/>
    <x v="478"/>
    <x v="1"/>
    <x v="852"/>
    <n v="4.7619047620000003"/>
    <n v="21.433499999999999"/>
    <n v="5"/>
  </r>
  <r>
    <x v="860"/>
    <x v="1"/>
    <x v="1"/>
    <x v="0"/>
    <x v="0"/>
    <x v="2"/>
    <n v="86.27"/>
    <x v="8"/>
    <n v="4.3135000000000003"/>
    <x v="853"/>
    <x v="9"/>
    <x v="38"/>
    <x v="0"/>
    <x v="853"/>
    <n v="4.7619047620000003"/>
    <n v="4.3135000000000003"/>
    <n v="7"/>
  </r>
  <r>
    <x v="861"/>
    <x v="0"/>
    <x v="0"/>
    <x v="0"/>
    <x v="1"/>
    <x v="3"/>
    <n v="12.76"/>
    <x v="5"/>
    <n v="1.276"/>
    <x v="854"/>
    <x v="66"/>
    <x v="191"/>
    <x v="0"/>
    <x v="854"/>
    <n v="4.7619047620000003"/>
    <n v="1.276"/>
    <n v="7.8"/>
  </r>
  <r>
    <x v="862"/>
    <x v="2"/>
    <x v="2"/>
    <x v="1"/>
    <x v="0"/>
    <x v="2"/>
    <n v="11.28"/>
    <x v="9"/>
    <n v="5.0759999999999996"/>
    <x v="855"/>
    <x v="85"/>
    <x v="479"/>
    <x v="2"/>
    <x v="855"/>
    <n v="4.7619047620000003"/>
    <n v="5.0759999999999996"/>
    <n v="4.3"/>
  </r>
  <r>
    <x v="863"/>
    <x v="2"/>
    <x v="2"/>
    <x v="1"/>
    <x v="0"/>
    <x v="2"/>
    <n v="51.07"/>
    <x v="0"/>
    <n v="17.874500000000001"/>
    <x v="856"/>
    <x v="52"/>
    <x v="437"/>
    <x v="1"/>
    <x v="856"/>
    <n v="4.7619047620000003"/>
    <n v="17.874500000000001"/>
    <n v="7"/>
  </r>
  <r>
    <x v="864"/>
    <x v="0"/>
    <x v="0"/>
    <x v="0"/>
    <x v="0"/>
    <x v="1"/>
    <n v="79.59"/>
    <x v="6"/>
    <n v="11.938499999999999"/>
    <x v="857"/>
    <x v="66"/>
    <x v="101"/>
    <x v="1"/>
    <x v="857"/>
    <n v="4.7619047620000003"/>
    <n v="11.938499999999999"/>
    <n v="6.6"/>
  </r>
  <r>
    <x v="865"/>
    <x v="1"/>
    <x v="1"/>
    <x v="0"/>
    <x v="1"/>
    <x v="0"/>
    <n v="33.81"/>
    <x v="6"/>
    <n v="5.0715000000000003"/>
    <x v="858"/>
    <x v="53"/>
    <x v="480"/>
    <x v="0"/>
    <x v="858"/>
    <n v="4.7619047620000003"/>
    <n v="5.0715000000000003"/>
    <n v="7.3"/>
  </r>
  <r>
    <x v="866"/>
    <x v="2"/>
    <x v="2"/>
    <x v="0"/>
    <x v="1"/>
    <x v="3"/>
    <n v="90.53"/>
    <x v="2"/>
    <n v="36.212000000000003"/>
    <x v="859"/>
    <x v="20"/>
    <x v="481"/>
    <x v="2"/>
    <x v="859"/>
    <n v="4.7619047620000003"/>
    <n v="36.212000000000003"/>
    <n v="6.5"/>
  </r>
  <r>
    <x v="867"/>
    <x v="1"/>
    <x v="1"/>
    <x v="0"/>
    <x v="0"/>
    <x v="0"/>
    <n v="62.82"/>
    <x v="5"/>
    <n v="6.282"/>
    <x v="860"/>
    <x v="29"/>
    <x v="482"/>
    <x v="0"/>
    <x v="860"/>
    <n v="4.7619047620000003"/>
    <n v="6.282"/>
    <n v="4.9000000000000004"/>
  </r>
  <r>
    <x v="868"/>
    <x v="1"/>
    <x v="1"/>
    <x v="0"/>
    <x v="1"/>
    <x v="4"/>
    <n v="24.31"/>
    <x v="6"/>
    <n v="3.6465000000000001"/>
    <x v="861"/>
    <x v="66"/>
    <x v="268"/>
    <x v="2"/>
    <x v="861"/>
    <n v="4.7619047620000003"/>
    <n v="3.6465000000000001"/>
    <n v="4.3"/>
  </r>
  <r>
    <x v="869"/>
    <x v="0"/>
    <x v="0"/>
    <x v="1"/>
    <x v="1"/>
    <x v="3"/>
    <n v="64.59"/>
    <x v="7"/>
    <n v="12.917999999999999"/>
    <x v="862"/>
    <x v="47"/>
    <x v="483"/>
    <x v="0"/>
    <x v="862"/>
    <n v="4.7619047620000003"/>
    <n v="12.917999999999999"/>
    <n v="9.3000000000000007"/>
  </r>
  <r>
    <x v="870"/>
    <x v="0"/>
    <x v="0"/>
    <x v="0"/>
    <x v="1"/>
    <x v="4"/>
    <n v="24.82"/>
    <x v="0"/>
    <n v="8.6869999999999994"/>
    <x v="863"/>
    <x v="69"/>
    <x v="373"/>
    <x v="2"/>
    <x v="863"/>
    <n v="4.7619047620000003"/>
    <n v="8.6869999999999994"/>
    <n v="7.1"/>
  </r>
  <r>
    <x v="871"/>
    <x v="1"/>
    <x v="1"/>
    <x v="1"/>
    <x v="1"/>
    <x v="5"/>
    <n v="56.5"/>
    <x v="8"/>
    <n v="2.8250000000000002"/>
    <x v="864"/>
    <x v="45"/>
    <x v="484"/>
    <x v="0"/>
    <x v="864"/>
    <n v="4.7619047620000003"/>
    <n v="2.8250000000000002"/>
    <n v="9.6"/>
  </r>
  <r>
    <x v="872"/>
    <x v="2"/>
    <x v="2"/>
    <x v="0"/>
    <x v="0"/>
    <x v="1"/>
    <n v="21.43"/>
    <x v="4"/>
    <n v="10.715"/>
    <x v="865"/>
    <x v="26"/>
    <x v="159"/>
    <x v="1"/>
    <x v="865"/>
    <n v="4.7619047620000003"/>
    <n v="10.715"/>
    <n v="6.2"/>
  </r>
  <r>
    <x v="873"/>
    <x v="0"/>
    <x v="0"/>
    <x v="0"/>
    <x v="1"/>
    <x v="3"/>
    <n v="89.06"/>
    <x v="3"/>
    <n v="26.718"/>
    <x v="866"/>
    <x v="68"/>
    <x v="111"/>
    <x v="1"/>
    <x v="866"/>
    <n v="4.7619047620000003"/>
    <n v="26.718"/>
    <n v="9.9"/>
  </r>
  <r>
    <x v="874"/>
    <x v="0"/>
    <x v="0"/>
    <x v="0"/>
    <x v="1"/>
    <x v="2"/>
    <n v="23.29"/>
    <x v="7"/>
    <n v="4.6580000000000004"/>
    <x v="867"/>
    <x v="35"/>
    <x v="408"/>
    <x v="2"/>
    <x v="867"/>
    <n v="4.7619047620000003"/>
    <n v="4.6580000000000004"/>
    <n v="5.9"/>
  </r>
  <r>
    <x v="875"/>
    <x v="1"/>
    <x v="1"/>
    <x v="1"/>
    <x v="1"/>
    <x v="2"/>
    <n v="65.260000000000005"/>
    <x v="2"/>
    <n v="26.103999999999999"/>
    <x v="868"/>
    <x v="20"/>
    <x v="214"/>
    <x v="0"/>
    <x v="868"/>
    <n v="4.7619047620000003"/>
    <n v="26.103999999999999"/>
    <n v="6.3"/>
  </r>
  <r>
    <x v="876"/>
    <x v="1"/>
    <x v="1"/>
    <x v="0"/>
    <x v="1"/>
    <x v="5"/>
    <n v="52.35"/>
    <x v="8"/>
    <n v="2.6175000000000002"/>
    <x v="869"/>
    <x v="12"/>
    <x v="438"/>
    <x v="1"/>
    <x v="869"/>
    <n v="4.7619047620000003"/>
    <n v="2.6175000000000002"/>
    <n v="4"/>
  </r>
  <r>
    <x v="877"/>
    <x v="2"/>
    <x v="2"/>
    <x v="0"/>
    <x v="1"/>
    <x v="1"/>
    <n v="39.75"/>
    <x v="8"/>
    <n v="1.9875"/>
    <x v="870"/>
    <x v="6"/>
    <x v="99"/>
    <x v="1"/>
    <x v="870"/>
    <n v="4.7619047620000003"/>
    <n v="1.9875"/>
    <n v="6.1"/>
  </r>
  <r>
    <x v="878"/>
    <x v="0"/>
    <x v="0"/>
    <x v="1"/>
    <x v="0"/>
    <x v="1"/>
    <n v="90.02"/>
    <x v="2"/>
    <n v="36.008000000000003"/>
    <x v="871"/>
    <x v="76"/>
    <x v="394"/>
    <x v="2"/>
    <x v="871"/>
    <n v="4.7619047620000003"/>
    <n v="36.008000000000003"/>
    <n v="4.5"/>
  </r>
  <r>
    <x v="879"/>
    <x v="2"/>
    <x v="2"/>
    <x v="0"/>
    <x v="0"/>
    <x v="1"/>
    <n v="12.1"/>
    <x v="2"/>
    <n v="4.84"/>
    <x v="872"/>
    <x v="64"/>
    <x v="79"/>
    <x v="0"/>
    <x v="872"/>
    <n v="4.7619047620000003"/>
    <n v="4.84"/>
    <n v="8.6"/>
  </r>
  <r>
    <x v="880"/>
    <x v="2"/>
    <x v="2"/>
    <x v="0"/>
    <x v="0"/>
    <x v="4"/>
    <n v="33.21"/>
    <x v="4"/>
    <n v="16.605"/>
    <x v="873"/>
    <x v="66"/>
    <x v="485"/>
    <x v="0"/>
    <x v="873"/>
    <n v="4.7619047620000003"/>
    <n v="16.605"/>
    <n v="6"/>
  </r>
  <r>
    <x v="881"/>
    <x v="1"/>
    <x v="1"/>
    <x v="0"/>
    <x v="0"/>
    <x v="5"/>
    <n v="10.18"/>
    <x v="2"/>
    <n v="4.0720000000000001"/>
    <x v="874"/>
    <x v="73"/>
    <x v="423"/>
    <x v="2"/>
    <x v="874"/>
    <n v="4.7619047620000003"/>
    <n v="4.0720000000000001"/>
    <n v="9.5"/>
  </r>
  <r>
    <x v="882"/>
    <x v="2"/>
    <x v="2"/>
    <x v="0"/>
    <x v="1"/>
    <x v="3"/>
    <n v="31.99"/>
    <x v="4"/>
    <n v="15.994999999999999"/>
    <x v="875"/>
    <x v="9"/>
    <x v="486"/>
    <x v="2"/>
    <x v="875"/>
    <n v="4.7619047620000003"/>
    <n v="15.994999999999999"/>
    <n v="9.9"/>
  </r>
  <r>
    <x v="883"/>
    <x v="0"/>
    <x v="0"/>
    <x v="0"/>
    <x v="0"/>
    <x v="2"/>
    <n v="34.42"/>
    <x v="3"/>
    <n v="10.326000000000001"/>
    <x v="136"/>
    <x v="73"/>
    <x v="47"/>
    <x v="0"/>
    <x v="136"/>
    <n v="4.7619047620000003"/>
    <n v="10.326000000000001"/>
    <n v="7.5"/>
  </r>
  <r>
    <x v="884"/>
    <x v="0"/>
    <x v="0"/>
    <x v="0"/>
    <x v="0"/>
    <x v="4"/>
    <n v="83.34"/>
    <x v="5"/>
    <n v="8.3339999999999996"/>
    <x v="876"/>
    <x v="35"/>
    <x v="303"/>
    <x v="1"/>
    <x v="876"/>
    <n v="4.7619047620000003"/>
    <n v="8.3339999999999996"/>
    <n v="7.6"/>
  </r>
  <r>
    <x v="885"/>
    <x v="0"/>
    <x v="0"/>
    <x v="1"/>
    <x v="1"/>
    <x v="3"/>
    <n v="45.58"/>
    <x v="0"/>
    <n v="15.952999999999999"/>
    <x v="877"/>
    <x v="50"/>
    <x v="487"/>
    <x v="1"/>
    <x v="877"/>
    <n v="4.7619047620000003"/>
    <n v="15.952999999999999"/>
    <n v="5"/>
  </r>
  <r>
    <x v="886"/>
    <x v="0"/>
    <x v="0"/>
    <x v="0"/>
    <x v="1"/>
    <x v="4"/>
    <n v="87.9"/>
    <x v="8"/>
    <n v="4.3949999999999996"/>
    <x v="878"/>
    <x v="63"/>
    <x v="144"/>
    <x v="0"/>
    <x v="878"/>
    <n v="4.7619047620000003"/>
    <n v="4.3949999999999996"/>
    <n v="6.7"/>
  </r>
  <r>
    <x v="887"/>
    <x v="0"/>
    <x v="0"/>
    <x v="0"/>
    <x v="0"/>
    <x v="1"/>
    <n v="73.47"/>
    <x v="4"/>
    <n v="36.734999999999999"/>
    <x v="879"/>
    <x v="28"/>
    <x v="488"/>
    <x v="0"/>
    <x v="879"/>
    <n v="4.7619047620000003"/>
    <n v="36.734999999999999"/>
    <n v="9.5"/>
  </r>
  <r>
    <x v="888"/>
    <x v="1"/>
    <x v="1"/>
    <x v="1"/>
    <x v="0"/>
    <x v="5"/>
    <n v="12.19"/>
    <x v="2"/>
    <n v="4.8760000000000003"/>
    <x v="880"/>
    <x v="45"/>
    <x v="433"/>
    <x v="0"/>
    <x v="880"/>
    <n v="4.7619047620000003"/>
    <n v="4.8760000000000003"/>
    <n v="6.8"/>
  </r>
  <r>
    <x v="889"/>
    <x v="0"/>
    <x v="0"/>
    <x v="0"/>
    <x v="1"/>
    <x v="3"/>
    <n v="76.92"/>
    <x v="4"/>
    <n v="38.46"/>
    <x v="881"/>
    <x v="85"/>
    <x v="267"/>
    <x v="0"/>
    <x v="881"/>
    <n v="4.7619047620000003"/>
    <n v="38.46"/>
    <n v="5.6"/>
  </r>
  <r>
    <x v="890"/>
    <x v="1"/>
    <x v="1"/>
    <x v="1"/>
    <x v="0"/>
    <x v="0"/>
    <n v="83.66"/>
    <x v="1"/>
    <n v="20.914999999999999"/>
    <x v="882"/>
    <x v="81"/>
    <x v="306"/>
    <x v="1"/>
    <x v="882"/>
    <n v="4.7619047620000003"/>
    <n v="20.914999999999999"/>
    <n v="7.2"/>
  </r>
  <r>
    <x v="891"/>
    <x v="2"/>
    <x v="2"/>
    <x v="1"/>
    <x v="0"/>
    <x v="1"/>
    <n v="57.91"/>
    <x v="2"/>
    <n v="23.164000000000001"/>
    <x v="883"/>
    <x v="13"/>
    <x v="379"/>
    <x v="1"/>
    <x v="883"/>
    <n v="4.7619047620000003"/>
    <n v="23.164000000000001"/>
    <n v="8.1"/>
  </r>
  <r>
    <x v="892"/>
    <x v="1"/>
    <x v="1"/>
    <x v="0"/>
    <x v="0"/>
    <x v="5"/>
    <n v="92.49"/>
    <x v="1"/>
    <n v="23.122499999999999"/>
    <x v="884"/>
    <x v="22"/>
    <x v="489"/>
    <x v="2"/>
    <x v="884"/>
    <n v="4.7619047620000003"/>
    <n v="23.122499999999999"/>
    <n v="8.6"/>
  </r>
  <r>
    <x v="893"/>
    <x v="2"/>
    <x v="2"/>
    <x v="1"/>
    <x v="1"/>
    <x v="1"/>
    <n v="28.38"/>
    <x v="1"/>
    <n v="7.0949999999999998"/>
    <x v="885"/>
    <x v="43"/>
    <x v="490"/>
    <x v="1"/>
    <x v="885"/>
    <n v="4.7619047620000003"/>
    <n v="7.0949999999999998"/>
    <n v="9.4"/>
  </r>
  <r>
    <x v="894"/>
    <x v="2"/>
    <x v="2"/>
    <x v="0"/>
    <x v="1"/>
    <x v="1"/>
    <n v="50.45"/>
    <x v="3"/>
    <n v="15.135"/>
    <x v="886"/>
    <x v="10"/>
    <x v="204"/>
    <x v="2"/>
    <x v="886"/>
    <n v="4.7619047620000003"/>
    <n v="15.135"/>
    <n v="8.9"/>
  </r>
  <r>
    <x v="895"/>
    <x v="2"/>
    <x v="2"/>
    <x v="1"/>
    <x v="1"/>
    <x v="0"/>
    <n v="99.16"/>
    <x v="2"/>
    <n v="39.664000000000001"/>
    <x v="887"/>
    <x v="26"/>
    <x v="59"/>
    <x v="2"/>
    <x v="887"/>
    <n v="4.7619047620000003"/>
    <n v="39.664000000000001"/>
    <n v="4.2"/>
  </r>
  <r>
    <x v="896"/>
    <x v="1"/>
    <x v="1"/>
    <x v="1"/>
    <x v="1"/>
    <x v="5"/>
    <n v="60.74"/>
    <x v="0"/>
    <n v="21.259"/>
    <x v="888"/>
    <x v="68"/>
    <x v="293"/>
    <x v="0"/>
    <x v="888"/>
    <n v="4.7619047620000003"/>
    <n v="21.259"/>
    <n v="5"/>
  </r>
  <r>
    <x v="897"/>
    <x v="1"/>
    <x v="1"/>
    <x v="0"/>
    <x v="0"/>
    <x v="4"/>
    <n v="47.27"/>
    <x v="3"/>
    <n v="14.180999999999999"/>
    <x v="889"/>
    <x v="63"/>
    <x v="79"/>
    <x v="1"/>
    <x v="889"/>
    <n v="4.7619047620000003"/>
    <n v="14.180999999999999"/>
    <n v="8.8000000000000007"/>
  </r>
  <r>
    <x v="898"/>
    <x v="1"/>
    <x v="1"/>
    <x v="0"/>
    <x v="1"/>
    <x v="0"/>
    <n v="85.6"/>
    <x v="0"/>
    <n v="29.96"/>
    <x v="890"/>
    <x v="22"/>
    <x v="491"/>
    <x v="1"/>
    <x v="890"/>
    <n v="4.7619047620000003"/>
    <n v="29.96"/>
    <n v="5.3"/>
  </r>
  <r>
    <x v="899"/>
    <x v="0"/>
    <x v="0"/>
    <x v="0"/>
    <x v="1"/>
    <x v="4"/>
    <n v="35.04"/>
    <x v="9"/>
    <n v="15.768000000000001"/>
    <x v="891"/>
    <x v="57"/>
    <x v="151"/>
    <x v="0"/>
    <x v="891"/>
    <n v="4.7619047620000003"/>
    <n v="15.768000000000001"/>
    <n v="4.5999999999999996"/>
  </r>
  <r>
    <x v="900"/>
    <x v="1"/>
    <x v="1"/>
    <x v="0"/>
    <x v="0"/>
    <x v="1"/>
    <n v="44.84"/>
    <x v="9"/>
    <n v="20.178000000000001"/>
    <x v="892"/>
    <x v="78"/>
    <x v="466"/>
    <x v="2"/>
    <x v="892"/>
    <n v="4.7619047620000003"/>
    <n v="20.178000000000001"/>
    <n v="7.5"/>
  </r>
  <r>
    <x v="901"/>
    <x v="2"/>
    <x v="2"/>
    <x v="1"/>
    <x v="1"/>
    <x v="2"/>
    <n v="45.97"/>
    <x v="7"/>
    <n v="9.1940000000000008"/>
    <x v="893"/>
    <x v="57"/>
    <x v="110"/>
    <x v="0"/>
    <x v="893"/>
    <n v="4.7619047620000003"/>
    <n v="9.1940000000000008"/>
    <n v="5.0999999999999996"/>
  </r>
  <r>
    <x v="902"/>
    <x v="0"/>
    <x v="0"/>
    <x v="0"/>
    <x v="0"/>
    <x v="0"/>
    <n v="27.73"/>
    <x v="1"/>
    <n v="6.9325000000000001"/>
    <x v="894"/>
    <x v="58"/>
    <x v="277"/>
    <x v="2"/>
    <x v="894"/>
    <n v="4.7619047620000003"/>
    <n v="6.9325000000000001"/>
    <n v="4.2"/>
  </r>
  <r>
    <x v="903"/>
    <x v="0"/>
    <x v="0"/>
    <x v="1"/>
    <x v="1"/>
    <x v="4"/>
    <n v="11.53"/>
    <x v="0"/>
    <n v="4.0354999999999999"/>
    <x v="895"/>
    <x v="26"/>
    <x v="492"/>
    <x v="1"/>
    <x v="895"/>
    <n v="4.7619047620000003"/>
    <n v="4.0354999999999999"/>
    <n v="8.1"/>
  </r>
  <r>
    <x v="904"/>
    <x v="1"/>
    <x v="1"/>
    <x v="1"/>
    <x v="0"/>
    <x v="0"/>
    <n v="58.32"/>
    <x v="5"/>
    <n v="5.8319999999999999"/>
    <x v="896"/>
    <x v="44"/>
    <x v="179"/>
    <x v="0"/>
    <x v="896"/>
    <n v="4.7619047620000003"/>
    <n v="5.8319999999999999"/>
    <n v="6"/>
  </r>
  <r>
    <x v="905"/>
    <x v="1"/>
    <x v="1"/>
    <x v="0"/>
    <x v="0"/>
    <x v="2"/>
    <n v="78.38"/>
    <x v="7"/>
    <n v="15.676"/>
    <x v="897"/>
    <x v="62"/>
    <x v="493"/>
    <x v="1"/>
    <x v="897"/>
    <n v="4.7619047620000003"/>
    <n v="15.676"/>
    <n v="7.9"/>
  </r>
  <r>
    <x v="906"/>
    <x v="1"/>
    <x v="1"/>
    <x v="1"/>
    <x v="1"/>
    <x v="0"/>
    <n v="84.61"/>
    <x v="4"/>
    <n v="42.305"/>
    <x v="898"/>
    <x v="57"/>
    <x v="262"/>
    <x v="2"/>
    <x v="898"/>
    <n v="4.7619047620000003"/>
    <n v="42.305"/>
    <n v="8.8000000000000007"/>
  </r>
  <r>
    <x v="907"/>
    <x v="2"/>
    <x v="2"/>
    <x v="1"/>
    <x v="0"/>
    <x v="0"/>
    <n v="82.88"/>
    <x v="1"/>
    <n v="20.72"/>
    <x v="899"/>
    <x v="62"/>
    <x v="402"/>
    <x v="2"/>
    <x v="899"/>
    <n v="4.7619047620000003"/>
    <n v="20.72"/>
    <n v="6.6"/>
  </r>
  <r>
    <x v="908"/>
    <x v="0"/>
    <x v="0"/>
    <x v="0"/>
    <x v="0"/>
    <x v="4"/>
    <n v="79.540000000000006"/>
    <x v="5"/>
    <n v="7.9539999999999997"/>
    <x v="900"/>
    <x v="39"/>
    <x v="269"/>
    <x v="0"/>
    <x v="900"/>
    <n v="4.7619047620000003"/>
    <n v="7.9539999999999997"/>
    <n v="6.2"/>
  </r>
  <r>
    <x v="909"/>
    <x v="2"/>
    <x v="2"/>
    <x v="1"/>
    <x v="0"/>
    <x v="2"/>
    <n v="49.01"/>
    <x v="4"/>
    <n v="24.504999999999999"/>
    <x v="901"/>
    <x v="3"/>
    <x v="494"/>
    <x v="2"/>
    <x v="901"/>
    <n v="4.7619047620000003"/>
    <n v="24.504999999999999"/>
    <n v="4.2"/>
  </r>
  <r>
    <x v="910"/>
    <x v="2"/>
    <x v="2"/>
    <x v="0"/>
    <x v="0"/>
    <x v="4"/>
    <n v="29.15"/>
    <x v="6"/>
    <n v="4.3724999999999996"/>
    <x v="902"/>
    <x v="39"/>
    <x v="245"/>
    <x v="2"/>
    <x v="902"/>
    <n v="4.7619047620000003"/>
    <n v="4.3724999999999996"/>
    <n v="7.3"/>
  </r>
  <r>
    <x v="911"/>
    <x v="1"/>
    <x v="1"/>
    <x v="1"/>
    <x v="0"/>
    <x v="1"/>
    <n v="56.13"/>
    <x v="7"/>
    <n v="11.226000000000001"/>
    <x v="903"/>
    <x v="64"/>
    <x v="354"/>
    <x v="0"/>
    <x v="903"/>
    <n v="4.7619047620000003"/>
    <n v="11.226000000000001"/>
    <n v="8.6"/>
  </r>
  <r>
    <x v="912"/>
    <x v="0"/>
    <x v="0"/>
    <x v="1"/>
    <x v="0"/>
    <x v="2"/>
    <n v="93.12"/>
    <x v="2"/>
    <n v="37.247999999999998"/>
    <x v="904"/>
    <x v="13"/>
    <x v="495"/>
    <x v="1"/>
    <x v="904"/>
    <n v="4.7619047620000003"/>
    <n v="37.247999999999998"/>
    <n v="6.8"/>
  </r>
  <r>
    <x v="913"/>
    <x v="0"/>
    <x v="0"/>
    <x v="0"/>
    <x v="1"/>
    <x v="5"/>
    <n v="51.34"/>
    <x v="2"/>
    <n v="20.536000000000001"/>
    <x v="905"/>
    <x v="82"/>
    <x v="158"/>
    <x v="0"/>
    <x v="905"/>
    <n v="4.7619047620000003"/>
    <n v="20.536000000000001"/>
    <n v="7.6"/>
  </r>
  <r>
    <x v="914"/>
    <x v="0"/>
    <x v="0"/>
    <x v="0"/>
    <x v="0"/>
    <x v="4"/>
    <n v="99.6"/>
    <x v="6"/>
    <n v="14.94"/>
    <x v="906"/>
    <x v="6"/>
    <x v="40"/>
    <x v="1"/>
    <x v="906"/>
    <n v="4.7619047620000003"/>
    <n v="14.94"/>
    <n v="5.8"/>
  </r>
  <r>
    <x v="915"/>
    <x v="1"/>
    <x v="1"/>
    <x v="1"/>
    <x v="0"/>
    <x v="1"/>
    <n v="35.49"/>
    <x v="3"/>
    <n v="10.647"/>
    <x v="907"/>
    <x v="30"/>
    <x v="343"/>
    <x v="1"/>
    <x v="907"/>
    <n v="4.7619047620000003"/>
    <n v="10.647"/>
    <n v="4.0999999999999996"/>
  </r>
  <r>
    <x v="916"/>
    <x v="1"/>
    <x v="1"/>
    <x v="0"/>
    <x v="1"/>
    <x v="3"/>
    <n v="42.85"/>
    <x v="8"/>
    <n v="2.1425000000000001"/>
    <x v="908"/>
    <x v="86"/>
    <x v="29"/>
    <x v="2"/>
    <x v="908"/>
    <n v="4.7619047620000003"/>
    <n v="2.1425000000000001"/>
    <n v="9.3000000000000007"/>
  </r>
  <r>
    <x v="917"/>
    <x v="0"/>
    <x v="0"/>
    <x v="1"/>
    <x v="0"/>
    <x v="5"/>
    <n v="94.67"/>
    <x v="7"/>
    <n v="18.934000000000001"/>
    <x v="909"/>
    <x v="16"/>
    <x v="153"/>
    <x v="1"/>
    <x v="909"/>
    <n v="4.7619047620000003"/>
    <n v="18.934000000000001"/>
    <n v="6.8"/>
  </r>
  <r>
    <x v="918"/>
    <x v="2"/>
    <x v="2"/>
    <x v="1"/>
    <x v="1"/>
    <x v="2"/>
    <n v="68.97"/>
    <x v="6"/>
    <n v="10.345499999999999"/>
    <x v="910"/>
    <x v="70"/>
    <x v="55"/>
    <x v="0"/>
    <x v="910"/>
    <n v="4.7619047620000003"/>
    <n v="10.345499999999999"/>
    <n v="8.6999999999999993"/>
  </r>
  <r>
    <x v="919"/>
    <x v="2"/>
    <x v="2"/>
    <x v="0"/>
    <x v="0"/>
    <x v="1"/>
    <n v="26.26"/>
    <x v="6"/>
    <n v="3.9390000000000001"/>
    <x v="911"/>
    <x v="22"/>
    <x v="482"/>
    <x v="0"/>
    <x v="911"/>
    <n v="4.7619047620000003"/>
    <n v="3.9390000000000001"/>
    <n v="6.3"/>
  </r>
  <r>
    <x v="920"/>
    <x v="1"/>
    <x v="1"/>
    <x v="0"/>
    <x v="0"/>
    <x v="2"/>
    <n v="35.79"/>
    <x v="9"/>
    <n v="16.105499999999999"/>
    <x v="912"/>
    <x v="24"/>
    <x v="379"/>
    <x v="2"/>
    <x v="912"/>
    <n v="4.7619047620000003"/>
    <n v="16.105499999999999"/>
    <n v="5.0999999999999996"/>
  </r>
  <r>
    <x v="921"/>
    <x v="2"/>
    <x v="2"/>
    <x v="1"/>
    <x v="0"/>
    <x v="2"/>
    <n v="16.37"/>
    <x v="3"/>
    <n v="4.9109999999999996"/>
    <x v="913"/>
    <x v="4"/>
    <x v="496"/>
    <x v="1"/>
    <x v="913"/>
    <n v="4.7619047620000003"/>
    <n v="4.9109999999999996"/>
    <n v="7"/>
  </r>
  <r>
    <x v="922"/>
    <x v="1"/>
    <x v="1"/>
    <x v="0"/>
    <x v="0"/>
    <x v="2"/>
    <n v="12.73"/>
    <x v="5"/>
    <n v="1.2729999999999999"/>
    <x v="914"/>
    <x v="70"/>
    <x v="334"/>
    <x v="2"/>
    <x v="914"/>
    <n v="4.7619047620000003"/>
    <n v="1.2729999999999999"/>
    <n v="5.2"/>
  </r>
  <r>
    <x v="923"/>
    <x v="1"/>
    <x v="1"/>
    <x v="1"/>
    <x v="0"/>
    <x v="3"/>
    <n v="83.14"/>
    <x v="0"/>
    <n v="29.099"/>
    <x v="915"/>
    <x v="8"/>
    <x v="359"/>
    <x v="2"/>
    <x v="915"/>
    <n v="4.7619047620000003"/>
    <n v="29.099"/>
    <n v="6.6"/>
  </r>
  <r>
    <x v="924"/>
    <x v="1"/>
    <x v="1"/>
    <x v="0"/>
    <x v="0"/>
    <x v="3"/>
    <n v="35.22"/>
    <x v="3"/>
    <n v="10.566000000000001"/>
    <x v="916"/>
    <x v="86"/>
    <x v="497"/>
    <x v="0"/>
    <x v="916"/>
    <n v="4.7619047620000003"/>
    <n v="10.566000000000001"/>
    <n v="6.5"/>
  </r>
  <r>
    <x v="925"/>
    <x v="2"/>
    <x v="2"/>
    <x v="1"/>
    <x v="0"/>
    <x v="1"/>
    <n v="13.78"/>
    <x v="7"/>
    <n v="2.7559999999999998"/>
    <x v="917"/>
    <x v="8"/>
    <x v="498"/>
    <x v="0"/>
    <x v="917"/>
    <n v="4.7619047620000003"/>
    <n v="2.7559999999999998"/>
    <n v="9"/>
  </r>
  <r>
    <x v="926"/>
    <x v="2"/>
    <x v="2"/>
    <x v="0"/>
    <x v="1"/>
    <x v="3"/>
    <n v="88.31"/>
    <x v="8"/>
    <n v="4.4154999999999998"/>
    <x v="918"/>
    <x v="42"/>
    <x v="180"/>
    <x v="2"/>
    <x v="918"/>
    <n v="4.7619047620000003"/>
    <n v="4.4154999999999998"/>
    <n v="5.2"/>
  </r>
  <r>
    <x v="927"/>
    <x v="0"/>
    <x v="0"/>
    <x v="0"/>
    <x v="0"/>
    <x v="0"/>
    <n v="39.619999999999997"/>
    <x v="9"/>
    <n v="17.829000000000001"/>
    <x v="919"/>
    <x v="50"/>
    <x v="297"/>
    <x v="2"/>
    <x v="919"/>
    <n v="4.7619047620000003"/>
    <n v="17.829000000000001"/>
    <n v="6.8"/>
  </r>
  <r>
    <x v="928"/>
    <x v="2"/>
    <x v="2"/>
    <x v="1"/>
    <x v="0"/>
    <x v="1"/>
    <n v="88.25"/>
    <x v="9"/>
    <n v="39.712499999999999"/>
    <x v="920"/>
    <x v="42"/>
    <x v="259"/>
    <x v="2"/>
    <x v="920"/>
    <n v="4.7619047620000003"/>
    <n v="39.712499999999999"/>
    <n v="7.6"/>
  </r>
  <r>
    <x v="929"/>
    <x v="2"/>
    <x v="2"/>
    <x v="1"/>
    <x v="1"/>
    <x v="3"/>
    <n v="25.31"/>
    <x v="5"/>
    <n v="2.5310000000000001"/>
    <x v="921"/>
    <x v="22"/>
    <x v="206"/>
    <x v="0"/>
    <x v="921"/>
    <n v="4.7619047620000003"/>
    <n v="2.5310000000000001"/>
    <n v="7.2"/>
  </r>
  <r>
    <x v="930"/>
    <x v="2"/>
    <x v="2"/>
    <x v="1"/>
    <x v="1"/>
    <x v="2"/>
    <n v="99.92"/>
    <x v="3"/>
    <n v="29.975999999999999"/>
    <x v="922"/>
    <x v="62"/>
    <x v="499"/>
    <x v="0"/>
    <x v="922"/>
    <n v="4.7619047620000003"/>
    <n v="29.975999999999999"/>
    <n v="7.1"/>
  </r>
  <r>
    <x v="931"/>
    <x v="1"/>
    <x v="1"/>
    <x v="0"/>
    <x v="0"/>
    <x v="5"/>
    <n v="83.35"/>
    <x v="5"/>
    <n v="8.3350000000000009"/>
    <x v="923"/>
    <x v="30"/>
    <x v="500"/>
    <x v="2"/>
    <x v="923"/>
    <n v="4.7619047620000003"/>
    <n v="8.3350000000000009"/>
    <n v="9.5"/>
  </r>
  <r>
    <x v="932"/>
    <x v="0"/>
    <x v="0"/>
    <x v="1"/>
    <x v="0"/>
    <x v="4"/>
    <n v="74.44"/>
    <x v="4"/>
    <n v="37.22"/>
    <x v="924"/>
    <x v="33"/>
    <x v="335"/>
    <x v="0"/>
    <x v="924"/>
    <n v="4.7619047620000003"/>
    <n v="37.22"/>
    <n v="5.0999999999999996"/>
  </r>
  <r>
    <x v="933"/>
    <x v="1"/>
    <x v="1"/>
    <x v="1"/>
    <x v="1"/>
    <x v="0"/>
    <n v="64.08"/>
    <x v="0"/>
    <n v="22.428000000000001"/>
    <x v="671"/>
    <x v="40"/>
    <x v="62"/>
    <x v="0"/>
    <x v="671"/>
    <n v="4.7619047620000003"/>
    <n v="22.428000000000001"/>
    <n v="7.6"/>
  </r>
  <r>
    <x v="934"/>
    <x v="2"/>
    <x v="2"/>
    <x v="1"/>
    <x v="0"/>
    <x v="2"/>
    <n v="63.15"/>
    <x v="3"/>
    <n v="18.945"/>
    <x v="925"/>
    <x v="75"/>
    <x v="181"/>
    <x v="0"/>
    <x v="925"/>
    <n v="4.7619047620000003"/>
    <n v="18.945"/>
    <n v="9.8000000000000007"/>
  </r>
  <r>
    <x v="935"/>
    <x v="1"/>
    <x v="1"/>
    <x v="0"/>
    <x v="1"/>
    <x v="2"/>
    <n v="85.72"/>
    <x v="6"/>
    <n v="12.858000000000001"/>
    <x v="926"/>
    <x v="46"/>
    <x v="123"/>
    <x v="0"/>
    <x v="926"/>
    <n v="4.7619047620000003"/>
    <n v="12.858000000000001"/>
    <n v="5.0999999999999996"/>
  </r>
  <r>
    <x v="936"/>
    <x v="1"/>
    <x v="1"/>
    <x v="1"/>
    <x v="0"/>
    <x v="0"/>
    <n v="78.89"/>
    <x v="0"/>
    <n v="27.611499999999999"/>
    <x v="927"/>
    <x v="0"/>
    <x v="28"/>
    <x v="0"/>
    <x v="927"/>
    <n v="4.7619047620000003"/>
    <n v="27.611499999999999"/>
    <n v="7.5"/>
  </r>
  <r>
    <x v="937"/>
    <x v="0"/>
    <x v="0"/>
    <x v="1"/>
    <x v="0"/>
    <x v="3"/>
    <n v="89.48"/>
    <x v="1"/>
    <n v="22.37"/>
    <x v="928"/>
    <x v="73"/>
    <x v="392"/>
    <x v="1"/>
    <x v="928"/>
    <n v="4.7619047620000003"/>
    <n v="22.37"/>
    <n v="7.4"/>
  </r>
  <r>
    <x v="938"/>
    <x v="0"/>
    <x v="0"/>
    <x v="0"/>
    <x v="0"/>
    <x v="0"/>
    <n v="92.09"/>
    <x v="6"/>
    <n v="13.813499999999999"/>
    <x v="929"/>
    <x v="21"/>
    <x v="501"/>
    <x v="1"/>
    <x v="929"/>
    <n v="4.7619047620000003"/>
    <n v="13.813499999999999"/>
    <n v="4.2"/>
  </r>
  <r>
    <x v="939"/>
    <x v="1"/>
    <x v="1"/>
    <x v="1"/>
    <x v="0"/>
    <x v="4"/>
    <n v="57.29"/>
    <x v="3"/>
    <n v="17.187000000000001"/>
    <x v="930"/>
    <x v="76"/>
    <x v="72"/>
    <x v="0"/>
    <x v="930"/>
    <n v="4.7619047620000003"/>
    <n v="17.187000000000001"/>
    <n v="5.9"/>
  </r>
  <r>
    <x v="940"/>
    <x v="0"/>
    <x v="0"/>
    <x v="1"/>
    <x v="1"/>
    <x v="4"/>
    <n v="66.52"/>
    <x v="7"/>
    <n v="13.304"/>
    <x v="931"/>
    <x v="22"/>
    <x v="92"/>
    <x v="0"/>
    <x v="931"/>
    <n v="4.7619047620000003"/>
    <n v="13.304"/>
    <n v="6.9"/>
  </r>
  <r>
    <x v="941"/>
    <x v="1"/>
    <x v="1"/>
    <x v="0"/>
    <x v="1"/>
    <x v="5"/>
    <n v="99.82"/>
    <x v="9"/>
    <n v="44.918999999999997"/>
    <x v="932"/>
    <x v="39"/>
    <x v="100"/>
    <x v="1"/>
    <x v="932"/>
    <n v="4.7619047620000003"/>
    <n v="44.918999999999997"/>
    <n v="6.6"/>
  </r>
  <r>
    <x v="942"/>
    <x v="0"/>
    <x v="0"/>
    <x v="1"/>
    <x v="0"/>
    <x v="2"/>
    <n v="45.68"/>
    <x v="4"/>
    <n v="22.84"/>
    <x v="933"/>
    <x v="64"/>
    <x v="171"/>
    <x v="0"/>
    <x v="933"/>
    <n v="4.7619047620000003"/>
    <n v="22.84"/>
    <n v="5.7"/>
  </r>
  <r>
    <x v="943"/>
    <x v="0"/>
    <x v="0"/>
    <x v="1"/>
    <x v="1"/>
    <x v="0"/>
    <n v="50.79"/>
    <x v="1"/>
    <n v="12.6975"/>
    <x v="934"/>
    <x v="88"/>
    <x v="222"/>
    <x v="2"/>
    <x v="934"/>
    <n v="4.7619047620000003"/>
    <n v="12.6975"/>
    <n v="5.3"/>
  </r>
  <r>
    <x v="944"/>
    <x v="0"/>
    <x v="0"/>
    <x v="0"/>
    <x v="1"/>
    <x v="0"/>
    <n v="10.08"/>
    <x v="0"/>
    <n v="3.528"/>
    <x v="935"/>
    <x v="61"/>
    <x v="253"/>
    <x v="1"/>
    <x v="935"/>
    <n v="4.7619047620000003"/>
    <n v="3.528"/>
    <n v="4.2"/>
  </r>
  <r>
    <x v="945"/>
    <x v="0"/>
    <x v="0"/>
    <x v="1"/>
    <x v="0"/>
    <x v="1"/>
    <n v="93.88"/>
    <x v="0"/>
    <n v="32.857999999999997"/>
    <x v="936"/>
    <x v="0"/>
    <x v="159"/>
    <x v="2"/>
    <x v="936"/>
    <n v="4.7619047620000003"/>
    <n v="32.857999999999997"/>
    <n v="7.3"/>
  </r>
  <r>
    <x v="946"/>
    <x v="1"/>
    <x v="1"/>
    <x v="0"/>
    <x v="1"/>
    <x v="1"/>
    <n v="84.25"/>
    <x v="5"/>
    <n v="8.4250000000000007"/>
    <x v="937"/>
    <x v="58"/>
    <x v="385"/>
    <x v="2"/>
    <x v="937"/>
    <n v="4.7619047620000003"/>
    <n v="8.4250000000000007"/>
    <n v="5.3"/>
  </r>
  <r>
    <x v="947"/>
    <x v="2"/>
    <x v="2"/>
    <x v="0"/>
    <x v="1"/>
    <x v="5"/>
    <n v="53.78"/>
    <x v="8"/>
    <n v="2.6890000000000001"/>
    <x v="938"/>
    <x v="36"/>
    <x v="430"/>
    <x v="0"/>
    <x v="938"/>
    <n v="4.7619047620000003"/>
    <n v="2.6890000000000001"/>
    <n v="4.7"/>
  </r>
  <r>
    <x v="948"/>
    <x v="1"/>
    <x v="1"/>
    <x v="0"/>
    <x v="1"/>
    <x v="2"/>
    <n v="35.81"/>
    <x v="1"/>
    <n v="8.9525000000000006"/>
    <x v="939"/>
    <x v="10"/>
    <x v="114"/>
    <x v="0"/>
    <x v="939"/>
    <n v="4.7619047620000003"/>
    <n v="8.9525000000000006"/>
    <n v="7.9"/>
  </r>
  <r>
    <x v="949"/>
    <x v="2"/>
    <x v="2"/>
    <x v="1"/>
    <x v="0"/>
    <x v="4"/>
    <n v="26.43"/>
    <x v="2"/>
    <n v="10.571999999999999"/>
    <x v="940"/>
    <x v="7"/>
    <x v="442"/>
    <x v="0"/>
    <x v="940"/>
    <n v="4.7619047620000003"/>
    <n v="10.571999999999999"/>
    <n v="8.9"/>
  </r>
  <r>
    <x v="950"/>
    <x v="2"/>
    <x v="2"/>
    <x v="0"/>
    <x v="1"/>
    <x v="0"/>
    <n v="39.909999999999997"/>
    <x v="6"/>
    <n v="5.9865000000000004"/>
    <x v="941"/>
    <x v="81"/>
    <x v="343"/>
    <x v="0"/>
    <x v="941"/>
    <n v="4.7619047620000003"/>
    <n v="5.9865000000000004"/>
    <n v="9.3000000000000007"/>
  </r>
  <r>
    <x v="951"/>
    <x v="2"/>
    <x v="2"/>
    <x v="0"/>
    <x v="0"/>
    <x v="2"/>
    <n v="21.9"/>
    <x v="6"/>
    <n v="3.2850000000000001"/>
    <x v="942"/>
    <x v="51"/>
    <x v="362"/>
    <x v="0"/>
    <x v="942"/>
    <n v="4.7619047620000003"/>
    <n v="3.2850000000000001"/>
    <n v="4.7"/>
  </r>
  <r>
    <x v="952"/>
    <x v="2"/>
    <x v="2"/>
    <x v="0"/>
    <x v="0"/>
    <x v="4"/>
    <n v="62.85"/>
    <x v="7"/>
    <n v="12.57"/>
    <x v="156"/>
    <x v="6"/>
    <x v="93"/>
    <x v="0"/>
    <x v="156"/>
    <n v="4.7619047620000003"/>
    <n v="12.57"/>
    <n v="8.6999999999999993"/>
  </r>
  <r>
    <x v="953"/>
    <x v="1"/>
    <x v="1"/>
    <x v="0"/>
    <x v="0"/>
    <x v="4"/>
    <n v="21.04"/>
    <x v="7"/>
    <n v="4.2080000000000002"/>
    <x v="943"/>
    <x v="50"/>
    <x v="139"/>
    <x v="1"/>
    <x v="943"/>
    <n v="4.7619047620000003"/>
    <n v="4.2080000000000002"/>
    <n v="7.6"/>
  </r>
  <r>
    <x v="954"/>
    <x v="2"/>
    <x v="2"/>
    <x v="0"/>
    <x v="1"/>
    <x v="2"/>
    <n v="65.91"/>
    <x v="3"/>
    <n v="19.773"/>
    <x v="944"/>
    <x v="57"/>
    <x v="393"/>
    <x v="1"/>
    <x v="944"/>
    <n v="4.7619047620000003"/>
    <n v="19.773"/>
    <n v="5.7"/>
  </r>
  <r>
    <x v="955"/>
    <x v="0"/>
    <x v="0"/>
    <x v="1"/>
    <x v="0"/>
    <x v="5"/>
    <n v="42.57"/>
    <x v="0"/>
    <n v="14.8995"/>
    <x v="945"/>
    <x v="47"/>
    <x v="159"/>
    <x v="1"/>
    <x v="945"/>
    <n v="4.7619047620000003"/>
    <n v="14.8995"/>
    <n v="6.8"/>
  </r>
  <r>
    <x v="956"/>
    <x v="1"/>
    <x v="1"/>
    <x v="0"/>
    <x v="1"/>
    <x v="4"/>
    <n v="50.49"/>
    <x v="9"/>
    <n v="22.720500000000001"/>
    <x v="946"/>
    <x v="8"/>
    <x v="361"/>
    <x v="1"/>
    <x v="946"/>
    <n v="4.7619047620000003"/>
    <n v="22.720500000000001"/>
    <n v="5.4"/>
  </r>
  <r>
    <x v="957"/>
    <x v="2"/>
    <x v="2"/>
    <x v="1"/>
    <x v="1"/>
    <x v="1"/>
    <n v="46.02"/>
    <x v="3"/>
    <n v="13.805999999999999"/>
    <x v="947"/>
    <x v="13"/>
    <x v="57"/>
    <x v="1"/>
    <x v="947"/>
    <n v="4.7619047620000003"/>
    <n v="13.805999999999999"/>
    <n v="7.1"/>
  </r>
  <r>
    <x v="958"/>
    <x v="1"/>
    <x v="1"/>
    <x v="1"/>
    <x v="0"/>
    <x v="2"/>
    <n v="15.8"/>
    <x v="4"/>
    <n v="7.9"/>
    <x v="948"/>
    <x v="51"/>
    <x v="348"/>
    <x v="1"/>
    <x v="948"/>
    <n v="4.7619047620000003"/>
    <n v="7.9"/>
    <n v="7.8"/>
  </r>
  <r>
    <x v="959"/>
    <x v="0"/>
    <x v="0"/>
    <x v="0"/>
    <x v="0"/>
    <x v="4"/>
    <n v="98.66"/>
    <x v="9"/>
    <n v="44.396999999999998"/>
    <x v="949"/>
    <x v="88"/>
    <x v="133"/>
    <x v="1"/>
    <x v="949"/>
    <n v="4.7619047620000003"/>
    <n v="44.396999999999998"/>
    <n v="8.4"/>
  </r>
  <r>
    <x v="960"/>
    <x v="1"/>
    <x v="1"/>
    <x v="0"/>
    <x v="1"/>
    <x v="5"/>
    <n v="91.98"/>
    <x v="8"/>
    <n v="4.5990000000000002"/>
    <x v="950"/>
    <x v="79"/>
    <x v="406"/>
    <x v="1"/>
    <x v="950"/>
    <n v="4.7619047620000003"/>
    <n v="4.5990000000000002"/>
    <n v="9.8000000000000007"/>
  </r>
  <r>
    <x v="961"/>
    <x v="0"/>
    <x v="0"/>
    <x v="0"/>
    <x v="1"/>
    <x v="1"/>
    <n v="20.89"/>
    <x v="5"/>
    <n v="2.089"/>
    <x v="951"/>
    <x v="63"/>
    <x v="40"/>
    <x v="1"/>
    <x v="951"/>
    <n v="4.7619047620000003"/>
    <n v="2.089"/>
    <n v="9.8000000000000007"/>
  </r>
  <r>
    <x v="962"/>
    <x v="0"/>
    <x v="0"/>
    <x v="1"/>
    <x v="0"/>
    <x v="5"/>
    <n v="15.5"/>
    <x v="8"/>
    <n v="0.77500000000000002"/>
    <x v="952"/>
    <x v="35"/>
    <x v="502"/>
    <x v="2"/>
    <x v="952"/>
    <n v="4.7619047620000003"/>
    <n v="0.77500000000000002"/>
    <n v="7.4"/>
  </r>
  <r>
    <x v="963"/>
    <x v="1"/>
    <x v="1"/>
    <x v="0"/>
    <x v="1"/>
    <x v="1"/>
    <n v="96.82"/>
    <x v="6"/>
    <n v="14.523"/>
    <x v="953"/>
    <x v="73"/>
    <x v="291"/>
    <x v="1"/>
    <x v="953"/>
    <n v="4.7619047620000003"/>
    <n v="14.523"/>
    <n v="6.7"/>
  </r>
  <r>
    <x v="964"/>
    <x v="2"/>
    <x v="2"/>
    <x v="1"/>
    <x v="1"/>
    <x v="4"/>
    <n v="33.33"/>
    <x v="5"/>
    <n v="3.3330000000000002"/>
    <x v="954"/>
    <x v="53"/>
    <x v="400"/>
    <x v="2"/>
    <x v="954"/>
    <n v="4.7619047620000003"/>
    <n v="3.3330000000000002"/>
    <n v="6.4"/>
  </r>
  <r>
    <x v="965"/>
    <x v="2"/>
    <x v="2"/>
    <x v="1"/>
    <x v="0"/>
    <x v="1"/>
    <n v="38.270000000000003"/>
    <x v="5"/>
    <n v="3.827"/>
    <x v="955"/>
    <x v="22"/>
    <x v="503"/>
    <x v="2"/>
    <x v="955"/>
    <n v="4.7619047620000003"/>
    <n v="3.827"/>
    <n v="5.8"/>
  </r>
  <r>
    <x v="966"/>
    <x v="0"/>
    <x v="0"/>
    <x v="1"/>
    <x v="0"/>
    <x v="2"/>
    <n v="33.299999999999997"/>
    <x v="9"/>
    <n v="14.984999999999999"/>
    <x v="956"/>
    <x v="31"/>
    <x v="398"/>
    <x v="0"/>
    <x v="956"/>
    <n v="4.7619047620000003"/>
    <n v="14.984999999999999"/>
    <n v="7.2"/>
  </r>
  <r>
    <x v="967"/>
    <x v="0"/>
    <x v="0"/>
    <x v="0"/>
    <x v="1"/>
    <x v="2"/>
    <n v="81.010000000000005"/>
    <x v="6"/>
    <n v="12.1515"/>
    <x v="957"/>
    <x v="50"/>
    <x v="197"/>
    <x v="2"/>
    <x v="957"/>
    <n v="4.7619047620000003"/>
    <n v="12.1515"/>
    <n v="9.3000000000000007"/>
  </r>
  <r>
    <x v="968"/>
    <x v="0"/>
    <x v="0"/>
    <x v="1"/>
    <x v="0"/>
    <x v="0"/>
    <n v="15.8"/>
    <x v="6"/>
    <n v="2.37"/>
    <x v="958"/>
    <x v="5"/>
    <x v="454"/>
    <x v="1"/>
    <x v="958"/>
    <n v="4.7619047620000003"/>
    <n v="2.37"/>
    <n v="9.5"/>
  </r>
  <r>
    <x v="969"/>
    <x v="2"/>
    <x v="2"/>
    <x v="0"/>
    <x v="0"/>
    <x v="1"/>
    <n v="34.49"/>
    <x v="1"/>
    <n v="8.6225000000000005"/>
    <x v="959"/>
    <x v="16"/>
    <x v="143"/>
    <x v="2"/>
    <x v="959"/>
    <n v="4.7619047620000003"/>
    <n v="8.6225000000000005"/>
    <n v="9"/>
  </r>
  <r>
    <x v="970"/>
    <x v="2"/>
    <x v="2"/>
    <x v="0"/>
    <x v="0"/>
    <x v="4"/>
    <n v="84.63"/>
    <x v="4"/>
    <n v="42.314999999999998"/>
    <x v="960"/>
    <x v="17"/>
    <x v="150"/>
    <x v="2"/>
    <x v="960"/>
    <n v="4.7619047620000003"/>
    <n v="42.314999999999998"/>
    <n v="9"/>
  </r>
  <r>
    <x v="971"/>
    <x v="2"/>
    <x v="2"/>
    <x v="0"/>
    <x v="1"/>
    <x v="2"/>
    <n v="36.909999999999997"/>
    <x v="0"/>
    <n v="12.9185"/>
    <x v="961"/>
    <x v="34"/>
    <x v="477"/>
    <x v="0"/>
    <x v="961"/>
    <n v="4.7619047620000003"/>
    <n v="12.9185"/>
    <n v="6.7"/>
  </r>
  <r>
    <x v="972"/>
    <x v="2"/>
    <x v="2"/>
    <x v="1"/>
    <x v="1"/>
    <x v="1"/>
    <n v="87.08"/>
    <x v="0"/>
    <n v="30.478000000000002"/>
    <x v="962"/>
    <x v="53"/>
    <x v="504"/>
    <x v="1"/>
    <x v="962"/>
    <n v="4.7619047620000003"/>
    <n v="30.478000000000002"/>
    <n v="5.5"/>
  </r>
  <r>
    <x v="973"/>
    <x v="0"/>
    <x v="0"/>
    <x v="1"/>
    <x v="1"/>
    <x v="2"/>
    <n v="80.08"/>
    <x v="6"/>
    <n v="12.012"/>
    <x v="963"/>
    <x v="48"/>
    <x v="406"/>
    <x v="1"/>
    <x v="963"/>
    <n v="4.7619047620000003"/>
    <n v="12.012"/>
    <n v="5.4"/>
  </r>
  <r>
    <x v="974"/>
    <x v="1"/>
    <x v="1"/>
    <x v="1"/>
    <x v="1"/>
    <x v="5"/>
    <n v="86.13"/>
    <x v="5"/>
    <n v="8.6129999999999995"/>
    <x v="964"/>
    <x v="13"/>
    <x v="422"/>
    <x v="1"/>
    <x v="964"/>
    <n v="4.7619047620000003"/>
    <n v="8.6129999999999995"/>
    <n v="8.1999999999999993"/>
  </r>
  <r>
    <x v="975"/>
    <x v="2"/>
    <x v="2"/>
    <x v="0"/>
    <x v="1"/>
    <x v="5"/>
    <n v="49.92"/>
    <x v="5"/>
    <n v="4.992"/>
    <x v="965"/>
    <x v="43"/>
    <x v="479"/>
    <x v="2"/>
    <x v="965"/>
    <n v="4.7619047620000003"/>
    <n v="4.992"/>
    <n v="7"/>
  </r>
  <r>
    <x v="976"/>
    <x v="0"/>
    <x v="0"/>
    <x v="1"/>
    <x v="0"/>
    <x v="4"/>
    <n v="74.66"/>
    <x v="7"/>
    <n v="14.932"/>
    <x v="966"/>
    <x v="31"/>
    <x v="17"/>
    <x v="1"/>
    <x v="966"/>
    <n v="4.7619047620000003"/>
    <n v="14.932"/>
    <n v="8.5"/>
  </r>
  <r>
    <x v="977"/>
    <x v="2"/>
    <x v="2"/>
    <x v="0"/>
    <x v="1"/>
    <x v="4"/>
    <n v="26.6"/>
    <x v="3"/>
    <n v="7.98"/>
    <x v="967"/>
    <x v="84"/>
    <x v="50"/>
    <x v="0"/>
    <x v="967"/>
    <n v="4.7619047620000003"/>
    <n v="7.98"/>
    <n v="4.9000000000000004"/>
  </r>
  <r>
    <x v="978"/>
    <x v="2"/>
    <x v="2"/>
    <x v="1"/>
    <x v="0"/>
    <x v="1"/>
    <n v="25.45"/>
    <x v="8"/>
    <n v="1.2725"/>
    <x v="968"/>
    <x v="24"/>
    <x v="397"/>
    <x v="2"/>
    <x v="968"/>
    <n v="4.7619047620000003"/>
    <n v="1.2725"/>
    <n v="5.0999999999999996"/>
  </r>
  <r>
    <x v="979"/>
    <x v="2"/>
    <x v="2"/>
    <x v="1"/>
    <x v="0"/>
    <x v="4"/>
    <n v="67.77"/>
    <x v="8"/>
    <n v="3.3885000000000001"/>
    <x v="969"/>
    <x v="87"/>
    <x v="413"/>
    <x v="2"/>
    <x v="969"/>
    <n v="4.7619047620000003"/>
    <n v="3.3885000000000001"/>
    <n v="6.5"/>
  </r>
  <r>
    <x v="980"/>
    <x v="1"/>
    <x v="1"/>
    <x v="0"/>
    <x v="1"/>
    <x v="4"/>
    <n v="59.59"/>
    <x v="7"/>
    <n v="11.917999999999999"/>
    <x v="970"/>
    <x v="64"/>
    <x v="69"/>
    <x v="1"/>
    <x v="970"/>
    <n v="4.7619047620000003"/>
    <n v="11.917999999999999"/>
    <n v="9.8000000000000007"/>
  </r>
  <r>
    <x v="981"/>
    <x v="0"/>
    <x v="0"/>
    <x v="1"/>
    <x v="1"/>
    <x v="0"/>
    <n v="58.15"/>
    <x v="7"/>
    <n v="11.63"/>
    <x v="971"/>
    <x v="54"/>
    <x v="292"/>
    <x v="1"/>
    <x v="971"/>
    <n v="4.7619047620000003"/>
    <n v="11.63"/>
    <n v="8.4"/>
  </r>
  <r>
    <x v="982"/>
    <x v="0"/>
    <x v="0"/>
    <x v="0"/>
    <x v="0"/>
    <x v="3"/>
    <n v="97.48"/>
    <x v="9"/>
    <n v="43.866"/>
    <x v="972"/>
    <x v="86"/>
    <x v="401"/>
    <x v="0"/>
    <x v="972"/>
    <n v="4.7619047620000003"/>
    <n v="43.866"/>
    <n v="7.4"/>
  </r>
  <r>
    <x v="983"/>
    <x v="1"/>
    <x v="1"/>
    <x v="1"/>
    <x v="1"/>
    <x v="0"/>
    <n v="99.96"/>
    <x v="0"/>
    <n v="34.985999999999997"/>
    <x v="973"/>
    <x v="54"/>
    <x v="373"/>
    <x v="1"/>
    <x v="973"/>
    <n v="4.7619047620000003"/>
    <n v="34.985999999999997"/>
    <n v="6.1"/>
  </r>
  <r>
    <x v="984"/>
    <x v="1"/>
    <x v="1"/>
    <x v="1"/>
    <x v="1"/>
    <x v="1"/>
    <n v="96.37"/>
    <x v="0"/>
    <n v="33.729500000000002"/>
    <x v="974"/>
    <x v="51"/>
    <x v="335"/>
    <x v="1"/>
    <x v="974"/>
    <n v="4.7619047620000003"/>
    <n v="33.729500000000002"/>
    <n v="6"/>
  </r>
  <r>
    <x v="985"/>
    <x v="2"/>
    <x v="2"/>
    <x v="1"/>
    <x v="0"/>
    <x v="5"/>
    <n v="63.71"/>
    <x v="1"/>
    <n v="15.9275"/>
    <x v="975"/>
    <x v="13"/>
    <x v="171"/>
    <x v="0"/>
    <x v="975"/>
    <n v="4.7619047620000003"/>
    <n v="15.9275"/>
    <n v="8.5"/>
  </r>
  <r>
    <x v="986"/>
    <x v="2"/>
    <x v="2"/>
    <x v="1"/>
    <x v="0"/>
    <x v="0"/>
    <n v="14.76"/>
    <x v="5"/>
    <n v="1.476"/>
    <x v="976"/>
    <x v="67"/>
    <x v="51"/>
    <x v="0"/>
    <x v="976"/>
    <n v="4.7619047620000003"/>
    <n v="1.476"/>
    <n v="4.3"/>
  </r>
  <r>
    <x v="987"/>
    <x v="2"/>
    <x v="2"/>
    <x v="0"/>
    <x v="1"/>
    <x v="0"/>
    <n v="62"/>
    <x v="2"/>
    <n v="24.8"/>
    <x v="977"/>
    <x v="75"/>
    <x v="168"/>
    <x v="2"/>
    <x v="977"/>
    <n v="4.7619047620000003"/>
    <n v="24.8"/>
    <n v="6.2"/>
  </r>
  <r>
    <x v="988"/>
    <x v="1"/>
    <x v="1"/>
    <x v="0"/>
    <x v="1"/>
    <x v="1"/>
    <n v="82.34"/>
    <x v="4"/>
    <n v="41.17"/>
    <x v="978"/>
    <x v="14"/>
    <x v="505"/>
    <x v="0"/>
    <x v="978"/>
    <n v="4.7619047620000003"/>
    <n v="41.17"/>
    <n v="4.3"/>
  </r>
  <r>
    <x v="989"/>
    <x v="2"/>
    <x v="2"/>
    <x v="0"/>
    <x v="1"/>
    <x v="0"/>
    <n v="75.37"/>
    <x v="2"/>
    <n v="30.148"/>
    <x v="979"/>
    <x v="26"/>
    <x v="52"/>
    <x v="2"/>
    <x v="979"/>
    <n v="4.7619047620000003"/>
    <n v="30.148"/>
    <n v="8.4"/>
  </r>
  <r>
    <x v="990"/>
    <x v="0"/>
    <x v="0"/>
    <x v="1"/>
    <x v="0"/>
    <x v="4"/>
    <n v="56.56"/>
    <x v="1"/>
    <n v="14.14"/>
    <x v="980"/>
    <x v="23"/>
    <x v="216"/>
    <x v="2"/>
    <x v="980"/>
    <n v="4.7619047620000003"/>
    <n v="14.14"/>
    <n v="4.5"/>
  </r>
  <r>
    <x v="991"/>
    <x v="2"/>
    <x v="2"/>
    <x v="1"/>
    <x v="0"/>
    <x v="3"/>
    <n v="76.599999999999994"/>
    <x v="4"/>
    <n v="38.299999999999997"/>
    <x v="981"/>
    <x v="46"/>
    <x v="397"/>
    <x v="0"/>
    <x v="981"/>
    <n v="4.7619047620000003"/>
    <n v="38.299999999999997"/>
    <n v="6"/>
  </r>
  <r>
    <x v="992"/>
    <x v="0"/>
    <x v="0"/>
    <x v="1"/>
    <x v="1"/>
    <x v="1"/>
    <n v="58.03"/>
    <x v="5"/>
    <n v="5.8029999999999999"/>
    <x v="982"/>
    <x v="24"/>
    <x v="351"/>
    <x v="0"/>
    <x v="982"/>
    <n v="4.7619047620000003"/>
    <n v="5.8029999999999999"/>
    <n v="8.8000000000000007"/>
  </r>
  <r>
    <x v="993"/>
    <x v="2"/>
    <x v="2"/>
    <x v="1"/>
    <x v="1"/>
    <x v="5"/>
    <n v="17.489999999999998"/>
    <x v="4"/>
    <n v="8.7449999999999992"/>
    <x v="983"/>
    <x v="70"/>
    <x v="476"/>
    <x v="0"/>
    <x v="983"/>
    <n v="4.7619047620000003"/>
    <n v="8.7449999999999992"/>
    <n v="6.6"/>
  </r>
  <r>
    <x v="994"/>
    <x v="1"/>
    <x v="1"/>
    <x v="0"/>
    <x v="0"/>
    <x v="1"/>
    <n v="60.95"/>
    <x v="8"/>
    <n v="3.0474999999999999"/>
    <x v="984"/>
    <x v="67"/>
    <x v="335"/>
    <x v="0"/>
    <x v="984"/>
    <n v="4.7619047620000003"/>
    <n v="3.0474999999999999"/>
    <n v="5.9"/>
  </r>
  <r>
    <x v="995"/>
    <x v="1"/>
    <x v="1"/>
    <x v="1"/>
    <x v="1"/>
    <x v="0"/>
    <n v="40.35"/>
    <x v="8"/>
    <n v="2.0175000000000001"/>
    <x v="985"/>
    <x v="71"/>
    <x v="190"/>
    <x v="0"/>
    <x v="985"/>
    <n v="4.7619047620000003"/>
    <n v="2.0175000000000001"/>
    <n v="6.2"/>
  </r>
  <r>
    <x v="996"/>
    <x v="2"/>
    <x v="2"/>
    <x v="1"/>
    <x v="0"/>
    <x v="2"/>
    <n v="97.38"/>
    <x v="4"/>
    <n v="48.69"/>
    <x v="986"/>
    <x v="22"/>
    <x v="361"/>
    <x v="0"/>
    <x v="986"/>
    <n v="4.7619047620000003"/>
    <n v="48.69"/>
    <n v="4.4000000000000004"/>
  </r>
  <r>
    <x v="997"/>
    <x v="0"/>
    <x v="0"/>
    <x v="0"/>
    <x v="1"/>
    <x v="4"/>
    <n v="31.84"/>
    <x v="8"/>
    <n v="1.5920000000000001"/>
    <x v="987"/>
    <x v="57"/>
    <x v="93"/>
    <x v="1"/>
    <x v="987"/>
    <n v="4.7619047620000003"/>
    <n v="1.5920000000000001"/>
    <n v="7.7"/>
  </r>
  <r>
    <x v="998"/>
    <x v="0"/>
    <x v="0"/>
    <x v="1"/>
    <x v="1"/>
    <x v="2"/>
    <n v="65.819999999999993"/>
    <x v="8"/>
    <n v="3.2909999999999999"/>
    <x v="988"/>
    <x v="70"/>
    <x v="439"/>
    <x v="1"/>
    <x v="988"/>
    <n v="4.7619047620000003"/>
    <n v="3.2909999999999999"/>
    <n v="4.0999999999999996"/>
  </r>
  <r>
    <x v="999"/>
    <x v="0"/>
    <x v="0"/>
    <x v="0"/>
    <x v="0"/>
    <x v="5"/>
    <n v="88.34"/>
    <x v="0"/>
    <n v="30.919"/>
    <x v="989"/>
    <x v="67"/>
    <x v="360"/>
    <x v="1"/>
    <x v="989"/>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4FD530-1AC7-4913-BC52-490DB533CF2B}"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 rowHeaderCaption="Branch">
  <location ref="E5:H9" firstHeaderRow="0" firstDataRow="1" firstDataCol="1"/>
  <pivotFields count="21">
    <pivotField compact="0" showAll="0" insertBlankRow="1"/>
    <pivotField axis="axisRow" compact="0" showAll="0" insertBlankRow="1">
      <items count="4">
        <item x="0"/>
        <item x="2"/>
        <item x="1"/>
        <item t="default"/>
      </items>
    </pivotField>
    <pivotField compact="0" showAll="0" insertBlankRow="1"/>
    <pivotField compact="0" showAll="0" insertBlankRow="1"/>
    <pivotField compact="0" showAll="0" insertBlankRow="1"/>
    <pivotField compact="0" showAll="0" insertBlankRow="1"/>
    <pivotField compact="0" showAll="0" insertBlankRow="1"/>
    <pivotField dataField="1" compact="0" showAll="0" insertBlankRow="1"/>
    <pivotField compact="0" showAll="0" insertBlankRow="1"/>
    <pivotField dataField="1" compact="0" showAll="0" insertBlankRow="1"/>
    <pivotField compact="0" numFmtId="14" showAll="0" insertBlankRow="1">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compact="0" numFmtId="20" showAll="0" insertBlankRow="1">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compact="0" showAll="0" insertBlankRow="1"/>
    <pivotField compact="0" showAll="0" insertBlankRow="1"/>
    <pivotField compact="0" showAll="0" insertBlankRow="1"/>
    <pivotField compact="0" showAll="0" insertBlankRow="1"/>
    <pivotField dataField="1" compact="0" showAll="0" insertBlankRow="1"/>
    <pivotField compact="0" showAll="0" insertBlankRow="1">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nsertBlankRow="1">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showAll="0" insertBlankRow="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nsertBlankRow="1">
      <items count="15">
        <item x="0"/>
        <item x="1"/>
        <item x="2"/>
        <item x="3"/>
        <item x="4"/>
        <item x="5"/>
        <item x="6"/>
        <item x="7"/>
        <item x="8"/>
        <item x="9"/>
        <item x="10"/>
        <item x="11"/>
        <item x="12"/>
        <item x="13"/>
        <item t="default"/>
      </items>
    </pivotField>
  </pivotFields>
  <rowFields count="1">
    <field x="1"/>
  </rowFields>
  <rowItems count="4">
    <i>
      <x/>
    </i>
    <i>
      <x v="1"/>
    </i>
    <i>
      <x v="2"/>
    </i>
    <i t="grand">
      <x/>
    </i>
  </rowItems>
  <colFields count="1">
    <field x="-2"/>
  </colFields>
  <colItems count="3">
    <i>
      <x/>
    </i>
    <i i="1">
      <x v="1"/>
    </i>
    <i i="2">
      <x v="2"/>
    </i>
  </colItems>
  <dataFields count="3">
    <dataField name="Total Sales" fld="9" baseField="1" baseItem="0"/>
    <dataField name="Quantity Sold_" fld="7" baseField="1" baseItem="0"/>
    <dataField name="Average of Rating" fld="16" subtotal="average" baseField="1" baseItem="0"/>
  </dataFields>
  <formats count="34">
    <format dxfId="104">
      <pivotArea dataOnly="0" labelOnly="1" outline="0" fieldPosition="0">
        <references count="1">
          <reference field="4294967294" count="3">
            <x v="0"/>
            <x v="1"/>
            <x v="2"/>
          </reference>
        </references>
      </pivotArea>
    </format>
    <format dxfId="103">
      <pivotArea field="1" type="button" dataOnly="0" labelOnly="1" outline="0" axis="axisRow" fieldPosition="0"/>
    </format>
    <format dxfId="102">
      <pivotArea field="1" type="button" dataOnly="0" labelOnly="1" outline="0" axis="axisRow" fieldPosition="0"/>
    </format>
    <format dxfId="101">
      <pivotArea field="1" type="button" dataOnly="0" labelOnly="1" outline="0" axis="axisRow" fieldPosition="0"/>
    </format>
    <format dxfId="100">
      <pivotArea dataOnly="0" labelOnly="1" outline="0" fieldPosition="0">
        <references count="1">
          <reference field="4294967294" count="3">
            <x v="0"/>
            <x v="1"/>
            <x v="2"/>
          </reference>
        </references>
      </pivotArea>
    </format>
    <format dxfId="99">
      <pivotArea dataOnly="0" labelOnly="1" grandRow="1" outline="0" fieldPosition="0"/>
    </format>
    <format dxfId="98">
      <pivotArea dataOnly="0" labelOnly="1" grandRow="1" outline="0" fieldPosition="0"/>
    </format>
    <format dxfId="97">
      <pivotArea grandRow="1" outline="0" collapsedLevelsAreSubtotals="1" fieldPosition="0"/>
    </format>
    <format dxfId="96">
      <pivotArea dataOnly="0" labelOnly="1" grandRow="1" outline="0" fieldPosition="0"/>
    </format>
    <format dxfId="95">
      <pivotArea grandRow="1" outline="0" collapsedLevelsAreSubtotals="1" fieldPosition="0"/>
    </format>
    <format dxfId="94">
      <pivotArea dataOnly="0" labelOnly="1" grandRow="1" outline="0" fieldPosition="0"/>
    </format>
    <format dxfId="93">
      <pivotArea outline="0" collapsedLevelsAreSubtotals="1" fieldPosition="0">
        <references count="1">
          <reference field="4294967294" count="1" selected="0">
            <x v="2"/>
          </reference>
        </references>
      </pivotArea>
    </format>
    <format dxfId="92">
      <pivotArea outline="0" collapsedLevelsAreSubtotals="1" fieldPosition="0">
        <references count="1">
          <reference field="4294967294" count="1" selected="0">
            <x v="1"/>
          </reference>
        </references>
      </pivotArea>
    </format>
    <format dxfId="91">
      <pivotArea outline="0" collapsedLevelsAreSubtotals="1" fieldPosition="0">
        <references count="1">
          <reference field="4294967294" count="1" selected="0">
            <x v="0"/>
          </reference>
        </references>
      </pivotArea>
    </format>
    <format dxfId="90">
      <pivotArea dataOnly="0" labelOnly="1" fieldPosition="0">
        <references count="1">
          <reference field="1" count="0"/>
        </references>
      </pivotArea>
    </format>
    <format dxfId="89">
      <pivotArea dataOnly="0" labelOnly="1" grandRow="1" outline="0" fieldPosition="0"/>
    </format>
    <format dxfId="88">
      <pivotArea dataOnly="0" labelOnly="1" fieldPosition="0">
        <references count="1">
          <reference field="1" count="0"/>
        </references>
      </pivotArea>
    </format>
    <format dxfId="87">
      <pivotArea dataOnly="0" labelOnly="1" grandRow="1" outline="0" fieldPosition="0"/>
    </format>
    <format dxfId="86">
      <pivotArea type="all" dataOnly="0" outline="0" fieldPosition="0"/>
    </format>
    <format dxfId="85">
      <pivotArea outline="0" collapsedLevelsAreSubtotals="1" fieldPosition="0"/>
    </format>
    <format dxfId="84">
      <pivotArea grandRow="1" outline="0" collapsedLevelsAreSubtotals="1" fieldPosition="0"/>
    </format>
    <format dxfId="83">
      <pivotArea dataOnly="0" labelOnly="1" grandRow="1" outline="0" fieldPosition="0"/>
    </format>
    <format dxfId="82">
      <pivotArea grandRow="1" outline="0" collapsedLevelsAreSubtotals="1" fieldPosition="0"/>
    </format>
    <format dxfId="81">
      <pivotArea dataOnly="0" labelOnly="1" grandRow="1" outline="0" fieldPosition="0"/>
    </format>
    <format dxfId="80">
      <pivotArea field="1" type="button" dataOnly="0" labelOnly="1" outline="0" axis="axisRow" fieldPosition="0"/>
    </format>
    <format dxfId="79">
      <pivotArea dataOnly="0" labelOnly="1" outline="0" fieldPosition="0">
        <references count="1">
          <reference field="4294967294" count="3">
            <x v="0"/>
            <x v="1"/>
            <x v="2"/>
          </reference>
        </references>
      </pivotArea>
    </format>
    <format dxfId="78">
      <pivotArea field="1" type="button" dataOnly="0" labelOnly="1" outline="0" axis="axisRow" fieldPosition="0"/>
    </format>
    <format dxfId="77">
      <pivotArea dataOnly="0" labelOnly="1" outline="0" fieldPosition="0">
        <references count="1">
          <reference field="4294967294" count="3">
            <x v="0"/>
            <x v="1"/>
            <x v="2"/>
          </reference>
        </references>
      </pivotArea>
    </format>
    <format dxfId="76">
      <pivotArea field="1" type="button" dataOnly="0" labelOnly="1" outline="0" axis="axisRow" fieldPosition="0"/>
    </format>
    <format dxfId="75">
      <pivotArea dataOnly="0" labelOnly="1" outline="0" fieldPosition="0">
        <references count="1">
          <reference field="4294967294" count="3">
            <x v="0"/>
            <x v="1"/>
            <x v="2"/>
          </reference>
        </references>
      </pivotArea>
    </format>
    <format dxfId="74">
      <pivotArea field="1" type="button" dataOnly="0" labelOnly="1" outline="0" axis="axisRow" fieldPosition="0"/>
    </format>
    <format dxfId="73">
      <pivotArea dataOnly="0" labelOnly="1" outline="0" fieldPosition="0">
        <references count="1">
          <reference field="4294967294" count="3">
            <x v="0"/>
            <x v="1"/>
            <x v="2"/>
          </reference>
        </references>
      </pivotArea>
    </format>
    <format dxfId="72">
      <pivotArea field="1" type="button" dataOnly="0" labelOnly="1" outline="0" axis="axisRow" fieldPosition="0"/>
    </format>
    <format dxfId="71">
      <pivotArea dataOnly="0" labelOnly="1" outline="0" fieldPosition="0">
        <references count="1">
          <reference field="4294967294" count="3">
            <x v="0"/>
            <x v="1"/>
            <x v="2"/>
          </reference>
        </references>
      </pivotArea>
    </format>
  </formats>
  <pivotTableStyleInfo name="PivotStyleMedium13"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A0AE9F-3363-40E9-93A7-D3A9311F777B}" name="PivotTable1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9:H16" firstHeaderRow="0" firstDataRow="1" firstDataCol="1"/>
  <pivotFields count="21">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axis="axisRow" compact="0" outline="0" showAll="0" insertBlankRow="1">
      <items count="7">
        <item x="1"/>
        <item x="5"/>
        <item x="4"/>
        <item x="0"/>
        <item x="2"/>
        <item x="3"/>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dataField="1"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dataField="1" compact="0" outline="0" showAll="0" insertBlankRow="1">
      <extLst>
        <ext xmlns:x14="http://schemas.microsoft.com/office/spreadsheetml/2009/9/main" uri="{2946ED86-A175-432a-8AC1-64E0C546D7DE}">
          <x14:pivotField fillDownLabels="1"/>
        </ext>
      </extLst>
    </pivotField>
    <pivotField compact="0" numFmtId="14" outline="0" showAll="0" insertBlankRow="1">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extLst>
        <ext xmlns:x14="http://schemas.microsoft.com/office/spreadsheetml/2009/9/main" uri="{2946ED86-A175-432a-8AC1-64E0C546D7DE}">
          <x14:pivotField fillDownLabels="1"/>
        </ext>
      </extLst>
    </pivotField>
    <pivotField compact="0" numFmtId="20" outline="0" showAll="0" insertBlankRow="1">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dataField="1"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extLst>
        <ext xmlns:x14="http://schemas.microsoft.com/office/spreadsheetml/2009/9/main" uri="{2946ED86-A175-432a-8AC1-64E0C546D7DE}">
          <x14:pivotField fillDownLabels="1"/>
        </ext>
      </extLst>
    </pivotField>
    <pivotField compact="0" outline="0" showAll="0" insertBlankRow="1">
      <items count="27">
        <item x="0"/>
        <item x="1"/>
        <item x="2"/>
        <item x="3"/>
        <item x="4"/>
        <item x="5"/>
        <item x="6"/>
        <item x="7"/>
        <item x="8"/>
        <item x="9"/>
        <item x="10"/>
        <item x="11"/>
        <item x="12"/>
        <item x="13"/>
        <item x="14"/>
        <item x="15"/>
        <item x="16"/>
        <item x="17"/>
        <item x="18"/>
        <item x="19"/>
        <item x="20"/>
        <item x="21"/>
        <item x="22"/>
        <item x="23"/>
        <item x="24"/>
        <item x="25"/>
        <item t="default"/>
      </items>
      <extLst>
        <ext xmlns:x14="http://schemas.microsoft.com/office/spreadsheetml/2009/9/main" uri="{2946ED86-A175-432a-8AC1-64E0C546D7DE}">
          <x14:pivotField fillDownLabels="1"/>
        </ext>
      </extLst>
    </pivotField>
    <pivotField compact="0" outline="0" showAll="0" insertBlankRow="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nsertBlankRow="1">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1">
    <field x="5"/>
  </rowFields>
  <rowItems count="7">
    <i>
      <x/>
    </i>
    <i>
      <x v="1"/>
    </i>
    <i>
      <x v="2"/>
    </i>
    <i>
      <x v="3"/>
    </i>
    <i>
      <x v="4"/>
    </i>
    <i>
      <x v="5"/>
    </i>
    <i t="grand">
      <x/>
    </i>
  </rowItems>
  <colFields count="1">
    <field x="-2"/>
  </colFields>
  <colItems count="3">
    <i>
      <x/>
    </i>
    <i i="1">
      <x v="1"/>
    </i>
    <i i="2">
      <x v="2"/>
    </i>
  </colItems>
  <dataFields count="3">
    <dataField name="Total " fld="9" baseField="5" baseItem="0"/>
    <dataField name="Quantity_" fld="7" baseField="5" baseItem="0"/>
    <dataField name="Gross Income_" fld="15" baseField="5" baseItem="0"/>
  </dataFields>
  <formats count="14">
    <format dxfId="70">
      <pivotArea field="5" type="button" dataOnly="0" labelOnly="1" outline="0" axis="axisRow" fieldPosition="0"/>
    </format>
    <format dxfId="69">
      <pivotArea dataOnly="0" labelOnly="1" outline="0" fieldPosition="0">
        <references count="1">
          <reference field="4294967294" count="3">
            <x v="0"/>
            <x v="1"/>
            <x v="2"/>
          </reference>
        </references>
      </pivotArea>
    </format>
    <format dxfId="68">
      <pivotArea field="5" type="button" dataOnly="0" labelOnly="1" outline="0" axis="axisRow" fieldPosition="0"/>
    </format>
    <format dxfId="67">
      <pivotArea dataOnly="0" labelOnly="1" outline="0" fieldPosition="0">
        <references count="1">
          <reference field="4294967294" count="3">
            <x v="0"/>
            <x v="1"/>
            <x v="2"/>
          </reference>
        </references>
      </pivotArea>
    </format>
    <format dxfId="66">
      <pivotArea field="5" type="button" dataOnly="0" labelOnly="1" outline="0" axis="axisRow" fieldPosition="0"/>
    </format>
    <format dxfId="65">
      <pivotArea dataOnly="0" labelOnly="1" outline="0" fieldPosition="0">
        <references count="1">
          <reference field="4294967294" count="3">
            <x v="0"/>
            <x v="1"/>
            <x v="2"/>
          </reference>
        </references>
      </pivotArea>
    </format>
    <format dxfId="64">
      <pivotArea dataOnly="0" grandRow="1" outline="0" fieldPosition="0"/>
    </format>
    <format dxfId="63">
      <pivotArea dataOnly="0" grandRow="1" outline="0" fieldPosition="0"/>
    </format>
    <format dxfId="62">
      <pivotArea outline="0" fieldPosition="0">
        <references count="1">
          <reference field="5" count="0" selected="0"/>
        </references>
      </pivotArea>
    </format>
    <format dxfId="61">
      <pivotArea outline="0" fieldPosition="0">
        <references count="1">
          <reference field="5" count="0" selected="0"/>
        </references>
      </pivotArea>
    </format>
    <format dxfId="60">
      <pivotArea field="5" type="button" dataOnly="0" labelOnly="1" outline="0" axis="axisRow" fieldPosition="0"/>
    </format>
    <format dxfId="59">
      <pivotArea dataOnly="0" labelOnly="1" outline="0" fieldPosition="0">
        <references count="1">
          <reference field="4294967294" count="3">
            <x v="0"/>
            <x v="1"/>
            <x v="2"/>
          </reference>
        </references>
      </pivotArea>
    </format>
    <format dxfId="58">
      <pivotArea grandRow="1" outline="0" collapsedLevelsAreSubtotals="1" fieldPosition="0"/>
    </format>
    <format dxfId="57">
      <pivotArea dataOnly="0" labelOnly="1" grandRow="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1A602D-D7B3-42CA-B2A7-BD5D05C6FCD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Months">
  <location ref="J5:K8" firstHeaderRow="1" firstDataRow="1" firstDataCol="1"/>
  <pivotFields count="21">
    <pivotField showAll="0"/>
    <pivotField axis="axisRow" showAll="0">
      <items count="4">
        <item x="0"/>
        <item x="2"/>
        <item x="1"/>
        <item t="default"/>
      </items>
    </pivotField>
    <pivotField showAll="0"/>
    <pivotField showAll="0"/>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20"/>
    <field x="1"/>
  </rowFields>
  <rowItems count="3">
    <i>
      <x v="1"/>
    </i>
    <i>
      <x v="2"/>
    </i>
    <i>
      <x v="3"/>
    </i>
  </rowItems>
  <colItems count="1">
    <i/>
  </colItems>
  <dataFields count="1">
    <dataField name="Total_" fld="9" baseField="0" baseItem="0"/>
  </dataFields>
  <formats count="6">
    <format dxfId="110">
      <pivotArea field="20" type="button" dataOnly="0" labelOnly="1" outline="0" axis="axisRow" fieldPosition="0"/>
    </format>
    <format dxfId="109">
      <pivotArea dataOnly="0" labelOnly="1" outline="0" axis="axisValues" fieldPosition="0"/>
    </format>
    <format dxfId="108">
      <pivotArea field="20" type="button" dataOnly="0" labelOnly="1" outline="0" axis="axisRow" fieldPosition="0"/>
    </format>
    <format dxfId="107">
      <pivotArea dataOnly="0" labelOnly="1" outline="0" axis="axisValues" fieldPosition="0"/>
    </format>
    <format dxfId="106">
      <pivotArea field="20" type="button" dataOnly="0" labelOnly="1" outline="0" axis="axisRow" fieldPosition="0"/>
    </format>
    <format dxfId="105">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E58F4A-0627-496B-9B34-5E41526EF80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7" firstHeaderRow="1" firstDataRow="1" firstDataCol="1"/>
  <pivotFields count="21">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Total" fld="9" baseField="0" baseItem="0"/>
  </dataFields>
  <chartFormats count="2">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dateBetween" evalOrder="-1" id="211" name="Date">
      <autoFilter ref="A1">
        <filterColumn colId="0">
          <customFilters and="1">
            <customFilter operator="greaterThanOrEqual" val="43525"/>
            <customFilter operator="lessThanOrEqual" val="4355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749C9E-6FC7-45DF-A0D9-D95E9DBF2EC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1">
    <pivotField showAll="0"/>
    <pivotField axis="axisRow" showAll="0">
      <items count="4">
        <item x="0"/>
        <item x="2"/>
        <item x="1"/>
        <item t="default"/>
      </items>
    </pivotField>
    <pivotField showAll="0"/>
    <pivotField showAll="0"/>
    <pivotField showAll="0"/>
    <pivotField showAll="0"/>
    <pivotField showAll="0"/>
    <pivotField dataField="1" showAll="0"/>
    <pivotField showAll="0"/>
    <pivotField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4">
    <field x="20"/>
    <field x="19"/>
    <field x="1"/>
    <field x="10"/>
  </rowFields>
  <rowItems count="4">
    <i>
      <x v="1"/>
    </i>
    <i>
      <x v="2"/>
    </i>
    <i>
      <x v="3"/>
    </i>
    <i t="grand">
      <x/>
    </i>
  </rowItems>
  <colItems count="1">
    <i/>
  </colItems>
  <dataFields count="1">
    <dataField name="Sum of Quantity" fld="7"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0" count="1" selected="0">
            <x v="1"/>
          </reference>
        </references>
      </pivotArea>
    </chartFormat>
    <chartFormat chart="1" format="2">
      <pivotArea type="data" outline="0" fieldPosition="0">
        <references count="2">
          <reference field="4294967294" count="1" selected="0">
            <x v="0"/>
          </reference>
          <reference field="20" count="1" selected="0">
            <x v="2"/>
          </reference>
        </references>
      </pivotArea>
    </chartFormat>
    <chartFormat chart="1" format="3">
      <pivotArea type="data" outline="0" fieldPosition="0">
        <references count="2">
          <reference field="4294967294" count="1" selected="0">
            <x v="0"/>
          </reference>
          <reference field="20"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0" count="1" selected="0">
            <x v="1"/>
          </reference>
        </references>
      </pivotArea>
    </chartFormat>
    <chartFormat chart="6" format="10">
      <pivotArea type="data" outline="0" fieldPosition="0">
        <references count="2">
          <reference field="4294967294" count="1" selected="0">
            <x v="0"/>
          </reference>
          <reference field="20" count="1" selected="0">
            <x v="2"/>
          </reference>
        </references>
      </pivotArea>
    </chartFormat>
    <chartFormat chart="6" format="11">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C0633D-0DC5-42BD-9A16-BD26D069530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Months">
  <location ref="A3:B6" firstHeaderRow="1" firstDataRow="1" firstDataCol="1"/>
  <pivotFields count="21">
    <pivotField showAll="0"/>
    <pivotField axis="axisRow" showAll="0">
      <items count="4">
        <item x="0"/>
        <item x="2"/>
        <item x="1"/>
        <item t="default"/>
      </items>
    </pivotField>
    <pivotField showAll="0"/>
    <pivotField showAll="0"/>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20"/>
    <field x="1"/>
  </rowFields>
  <rowItems count="3">
    <i>
      <x v="1"/>
    </i>
    <i>
      <x v="2"/>
    </i>
    <i>
      <x v="3"/>
    </i>
  </rowItems>
  <colItems count="1">
    <i/>
  </colItems>
  <dataFields count="1">
    <dataField name="Total_" fld="9" baseField="0" baseItem="0"/>
  </dataFields>
  <formats count="4">
    <format dxfId="56">
      <pivotArea field="20" type="button" dataOnly="0" labelOnly="1" outline="0" axis="axisRow" fieldPosition="0"/>
    </format>
    <format dxfId="55">
      <pivotArea dataOnly="0" labelOnly="1" outline="0" axis="axisValues" fieldPosition="0"/>
    </format>
    <format dxfId="54">
      <pivotArea field="20" type="button" dataOnly="0" labelOnly="1" outline="0" axis="axisRow" fieldPosition="0"/>
    </format>
    <format dxfId="53">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20" count="1" selected="0">
            <x v="2"/>
          </reference>
        </references>
      </pivotArea>
    </chartFormat>
    <chartFormat chart="6" format="5">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3CA599-F102-48D2-A00B-1E963B8881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21">
    <pivotField showAll="0"/>
    <pivotField showAll="0">
      <items count="4">
        <item h="1" x="0"/>
        <item x="2"/>
        <item h="1" x="1"/>
        <item t="default"/>
      </items>
    </pivotField>
    <pivotField showAll="0"/>
    <pivotField showAll="0">
      <items count="3">
        <item x="0"/>
        <item h="1" x="1"/>
        <item t="default"/>
      </items>
    </pivotField>
    <pivotField showAll="0">
      <items count="3">
        <item x="0"/>
        <item h="1" x="1"/>
        <item t="default"/>
      </items>
    </pivotField>
    <pivotField axis="axisRow" showAll="0">
      <items count="7">
        <item h="1" x="1"/>
        <item h="1" x="5"/>
        <item x="4"/>
        <item h="1" x="0"/>
        <item h="1" x="2"/>
        <item h="1"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h="1" x="2"/>
        <item h="1"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2"/>
    </i>
    <i t="grand">
      <x/>
    </i>
  </rowItems>
  <colItems count="1">
    <i/>
  </colItems>
  <dataFields count="1">
    <dataField name="Sum of Total" fld="9" baseField="0" baseItem="0"/>
  </dataFields>
  <formats count="1">
    <format dxfId="5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6B44C9-5218-469A-896E-59A66E3F78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1">
    <pivotField showAll="0"/>
    <pivotField showAll="0">
      <items count="4">
        <item h="1" x="0"/>
        <item x="2"/>
        <item h="1" x="1"/>
        <item t="default"/>
      </items>
    </pivotField>
    <pivotField showAll="0"/>
    <pivotField showAll="0">
      <items count="3">
        <item x="0"/>
        <item h="1" x="1"/>
        <item t="default"/>
      </items>
    </pivotField>
    <pivotField showAll="0">
      <items count="3">
        <item x="0"/>
        <item h="1" x="1"/>
        <item t="default"/>
      </items>
    </pivotField>
    <pivotField axis="axisRow" showAll="0">
      <items count="7">
        <item h="1" x="1"/>
        <item h="1" x="5"/>
        <item x="4"/>
        <item h="1" x="0"/>
        <item h="1" x="2"/>
        <item h="1"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h="1" x="2"/>
        <item h="1" x="0"/>
        <item t="default"/>
      </items>
    </pivotField>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2"/>
    </i>
    <i t="grand">
      <x/>
    </i>
  </rowItems>
  <colItems count="1">
    <i/>
  </colItems>
  <dataFields count="1">
    <dataField name="Sum of gross income" fld="15" baseField="0" baseItem="0"/>
  </dataFields>
  <formats count="1">
    <format dxfId="5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6A3CFC-8376-43A9-A687-F9689585B2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1">
    <pivotField showAll="0"/>
    <pivotField showAll="0">
      <items count="4">
        <item h="1" x="0"/>
        <item x="2"/>
        <item h="1" x="1"/>
        <item t="default"/>
      </items>
    </pivotField>
    <pivotField showAll="0"/>
    <pivotField showAll="0">
      <items count="3">
        <item x="0"/>
        <item h="1" x="1"/>
        <item t="default"/>
      </items>
    </pivotField>
    <pivotField showAll="0">
      <items count="3">
        <item x="0"/>
        <item h="1" x="1"/>
        <item t="default"/>
      </items>
    </pivotField>
    <pivotField axis="axisRow" showAll="0">
      <items count="7">
        <item h="1" x="1"/>
        <item h="1" x="5"/>
        <item x="4"/>
        <item h="1" x="0"/>
        <item h="1" x="2"/>
        <item h="1" x="3"/>
        <item t="default"/>
      </items>
    </pivotField>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h="1" x="2"/>
        <item h="1"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2"/>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3FABE7-2632-4A31-B92C-1954162B59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1">
    <pivotField showAll="0"/>
    <pivotField axis="axisRow" showAll="0">
      <items count="4">
        <item x="2"/>
        <item h="1" x="1"/>
        <item h="1" x="0"/>
        <item t="default"/>
      </items>
    </pivotField>
    <pivotField showAll="0"/>
    <pivotField showAll="0"/>
    <pivotField showAll="0">
      <items count="3">
        <item x="0"/>
        <item h="1" x="1"/>
        <item t="default"/>
      </items>
    </pivotField>
    <pivotField showAll="0">
      <items count="7">
        <item h="1" x="1"/>
        <item h="1" x="5"/>
        <item x="4"/>
        <item h="1" x="0"/>
        <item h="1" x="2"/>
        <item h="1" x="3"/>
        <item t="default"/>
      </items>
    </pivotField>
    <pivotField showAll="0"/>
    <pivotField showAll="0"/>
    <pivotField dataField="1"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h="1" x="2"/>
        <item h="1"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i>
    <i t="grand">
      <x/>
    </i>
  </rowItems>
  <colItems count="1">
    <i/>
  </colItems>
  <dataFields count="1">
    <dataField name="Sum of Tax 5%" fld="8" baseField="0" baseItem="0"/>
  </dataFields>
  <formats count="1">
    <format dxfId="5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05B19C-76E3-4FCB-A49D-A8BA9B6A99E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1">
    <pivotField showAll="0"/>
    <pivotField axis="axisRow" showAll="0">
      <items count="4">
        <item x="0"/>
        <item x="2"/>
        <item x="1"/>
        <item t="default"/>
      </items>
    </pivotField>
    <pivotField showAll="0"/>
    <pivotField showAll="0">
      <items count="3">
        <item x="0"/>
        <item h="1" x="1"/>
        <item t="default"/>
      </items>
    </pivotField>
    <pivotField showAll="0">
      <items count="3">
        <item x="0"/>
        <item h="1" x="1"/>
        <item t="default"/>
      </items>
    </pivotField>
    <pivotField showAll="0">
      <items count="7">
        <item h="1" x="1"/>
        <item h="1" x="5"/>
        <item x="4"/>
        <item h="1" x="0"/>
        <item h="1" x="2"/>
        <item h="1"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h="1" x="2"/>
        <item h="1"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Total" fld="9"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704DF1-6D5C-46C2-BAB8-12CB01BA645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1">
    <pivotField showAll="0"/>
    <pivotField showAll="0">
      <items count="4">
        <item h="1" x="0"/>
        <item x="2"/>
        <item h="1" x="1"/>
        <item t="default"/>
      </items>
    </pivotField>
    <pivotField showAll="0"/>
    <pivotField showAll="0">
      <items count="3">
        <item x="0"/>
        <item h="1" x="1"/>
        <item t="default"/>
      </items>
    </pivotField>
    <pivotField showAll="0">
      <items count="3">
        <item x="0"/>
        <item h="1" x="1"/>
        <item t="default"/>
      </items>
    </pivotField>
    <pivotField axis="axisRow" showAll="0">
      <items count="7">
        <item h="1" x="1"/>
        <item h="1" x="5"/>
        <item x="4"/>
        <item h="1" x="0"/>
        <item h="1" x="2"/>
        <item h="1"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h="1" x="2"/>
        <item h="1" x="0"/>
        <item t="default"/>
      </items>
    </pivotField>
    <pivotField showAll="0"/>
    <pivotField showAll="0"/>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2"/>
    </i>
    <i t="grand">
      <x/>
    </i>
  </rowItems>
  <colItems count="1">
    <i/>
  </colItems>
  <dataFields count="1">
    <dataField name="Average of Rating"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F35690C-159D-48F7-947A-30547CDC27B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1">
    <pivotField showAll="0"/>
    <pivotField axis="axisRow" showAll="0">
      <items count="4">
        <item x="0"/>
        <item x="2"/>
        <item x="1"/>
        <item t="default"/>
      </items>
    </pivotField>
    <pivotField showAll="0"/>
    <pivotField showAll="0">
      <items count="3">
        <item x="0"/>
        <item h="1" x="1"/>
        <item t="default"/>
      </items>
    </pivotField>
    <pivotField showAll="0">
      <items count="3">
        <item x="0"/>
        <item h="1" x="1"/>
        <item t="default"/>
      </items>
    </pivotField>
    <pivotField showAll="0">
      <items count="7">
        <item h="1" x="1"/>
        <item h="1" x="5"/>
        <item x="4"/>
        <item h="1" x="0"/>
        <item h="1" x="2"/>
        <item h="1" x="3"/>
        <item t="default"/>
      </items>
    </pivotField>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h="1" x="2"/>
        <item h="1"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Quantity" fld="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4" format="32" series="1">
      <pivotArea type="data" outline="0" fieldPosition="0">
        <references count="1">
          <reference field="4294967294" count="1" selected="0">
            <x v="0"/>
          </reference>
        </references>
      </pivotArea>
    </chartFormat>
    <chartFormat chart="4" format="33">
      <pivotArea type="data" outline="0" fieldPosition="0">
        <references count="2">
          <reference field="4294967294" count="1" selected="0">
            <x v="0"/>
          </reference>
          <reference field="1" count="1" selected="0">
            <x v="0"/>
          </reference>
        </references>
      </pivotArea>
    </chartFormat>
    <chartFormat chart="4" format="34">
      <pivotArea type="data" outline="0" fieldPosition="0">
        <references count="2">
          <reference field="4294967294" count="1" selected="0">
            <x v="0"/>
          </reference>
          <reference field="1" count="1" selected="0">
            <x v="1"/>
          </reference>
        </references>
      </pivotArea>
    </chartFormat>
    <chartFormat chart="4" format="3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B26A62C-C5C1-4005-BED2-D9766E0BD31E}"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3" firstHeaderRow="1" firstDataRow="1" firstDataCol="1"/>
  <pivotFields count="21">
    <pivotField showAll="0"/>
    <pivotField axis="axisRow" showAll="0">
      <items count="4">
        <item x="0"/>
        <item x="2"/>
        <item x="1"/>
        <item t="default"/>
      </items>
    </pivotField>
    <pivotField showAll="0"/>
    <pivotField axis="axisRow" showAll="0">
      <items count="3">
        <item x="0"/>
        <item x="1"/>
        <item t="default"/>
      </items>
    </pivotField>
    <pivotField showAll="0">
      <items count="3">
        <item x="0"/>
        <item x="1"/>
        <item t="default"/>
      </items>
    </pivotField>
    <pivotField showAll="0"/>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3"/>
  </rowFields>
  <rowItems count="10">
    <i>
      <x/>
    </i>
    <i r="1">
      <x/>
    </i>
    <i r="1">
      <x v="1"/>
    </i>
    <i>
      <x v="1"/>
    </i>
    <i r="1">
      <x/>
    </i>
    <i r="1">
      <x v="1"/>
    </i>
    <i>
      <x v="2"/>
    </i>
    <i r="1">
      <x/>
    </i>
    <i r="1">
      <x v="1"/>
    </i>
    <i t="grand">
      <x/>
    </i>
  </rowItems>
  <colItems count="1">
    <i/>
  </colItems>
  <dataFields count="1">
    <dataField name="Sum of Quantity" fld="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ADA35DC-6349-4512-A824-AFD878A36E99}"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21">
    <pivotField showAll="0"/>
    <pivotField axis="axisRow" showAll="0">
      <items count="4">
        <item x="0"/>
        <item x="2"/>
        <item x="1"/>
        <item t="default"/>
      </items>
    </pivotField>
    <pivotField showAll="0"/>
    <pivotField axis="axisRow" showAll="0">
      <items count="3">
        <item x="0"/>
        <item x="1"/>
        <item t="default"/>
      </items>
    </pivotField>
    <pivotField showAll="0"/>
    <pivotField showAll="0"/>
    <pivotField dataField="1"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3"/>
    <field x="1"/>
  </rowFields>
  <rowItems count="9">
    <i>
      <x/>
    </i>
    <i r="1">
      <x/>
    </i>
    <i r="1">
      <x v="1"/>
    </i>
    <i r="1">
      <x v="2"/>
    </i>
    <i>
      <x v="1"/>
    </i>
    <i r="1">
      <x/>
    </i>
    <i r="1">
      <x v="1"/>
    </i>
    <i r="1">
      <x v="2"/>
    </i>
    <i t="grand">
      <x/>
    </i>
  </rowItems>
  <colItems count="1">
    <i/>
  </colItems>
  <dataFields count="1">
    <dataField name="Sum of Unit price" fld="6"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C21CF0B-AB91-4B85-916B-A17C08C61C8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1">
    <pivotField showAll="0"/>
    <pivotField showAll="0">
      <items count="4">
        <item h="1" x="0"/>
        <item x="2"/>
        <item h="1" x="1"/>
        <item t="default"/>
      </items>
    </pivotField>
    <pivotField showAll="0"/>
    <pivotField showAll="0">
      <items count="3">
        <item x="0"/>
        <item h="1" x="1"/>
        <item t="default"/>
      </items>
    </pivotField>
    <pivotField showAll="0">
      <items count="3">
        <item x="0"/>
        <item h="1" x="1"/>
        <item t="default"/>
      </items>
    </pivotField>
    <pivotField showAll="0">
      <items count="7">
        <item h="1" x="1"/>
        <item h="1" x="5"/>
        <item x="4"/>
        <item h="1" x="0"/>
        <item h="1" x="2"/>
        <item h="1" x="3"/>
        <item t="default"/>
      </items>
    </pivotField>
    <pivotField showAll="0"/>
    <pivotField showAll="0"/>
    <pivotField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h="1" x="2"/>
        <item h="1"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2">
    <i>
      <x/>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494D33B-F215-4C20-BF41-A8FAAA0257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21">
    <pivotField showAll="0"/>
    <pivotField showAll="0">
      <items count="4">
        <item h="1" x="0"/>
        <item x="2"/>
        <item h="1" x="1"/>
        <item t="default"/>
      </items>
    </pivotField>
    <pivotField showAll="0"/>
    <pivotField showAll="0">
      <items count="3">
        <item x="0"/>
        <item h="1" x="1"/>
        <item t="default"/>
      </items>
    </pivotField>
    <pivotField showAll="0">
      <items count="3">
        <item x="0"/>
        <item h="1" x="1"/>
        <item t="default"/>
      </items>
    </pivotField>
    <pivotField axis="axisRow"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h="1" x="2"/>
        <item h="1" x="0"/>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1B86DA9-F372-4358-BC8E-051873762602}"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3" firstHeaderRow="1" firstDataRow="1" firstDataCol="1"/>
  <pivotFields count="21">
    <pivotField showAll="0"/>
    <pivotField axis="axisRow" showAll="0">
      <items count="4">
        <item x="0"/>
        <item x="2"/>
        <item x="1"/>
        <item t="default"/>
      </items>
    </pivotField>
    <pivotField showAll="0"/>
    <pivotField showAll="0">
      <items count="3">
        <item x="0"/>
        <item x="1"/>
        <item t="default"/>
      </items>
    </pivotField>
    <pivotField axis="axisRow" showAll="0">
      <items count="3">
        <item x="0"/>
        <item x="1"/>
        <item t="default"/>
      </items>
    </pivotField>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4"/>
  </rowFields>
  <rowItems count="10">
    <i>
      <x/>
    </i>
    <i r="1">
      <x/>
    </i>
    <i r="1">
      <x v="1"/>
    </i>
    <i>
      <x v="1"/>
    </i>
    <i r="1">
      <x/>
    </i>
    <i r="1">
      <x v="1"/>
    </i>
    <i>
      <x v="2"/>
    </i>
    <i r="1">
      <x/>
    </i>
    <i r="1">
      <x v="1"/>
    </i>
    <i t="grand">
      <x/>
    </i>
  </rowItems>
  <colItems count="1">
    <i/>
  </colItems>
  <dataFields count="1">
    <dataField name="Sum of Total" fld="9"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FAF04F4-2462-4D56-9DBB-D6BC0E793676}"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3" firstHeaderRow="1" firstDataRow="1" firstDataCol="1"/>
  <pivotFields count="21">
    <pivotField showAll="0"/>
    <pivotField axis="axisRow" showAll="0">
      <items count="4">
        <item x="0"/>
        <item x="2"/>
        <item x="1"/>
        <item t="default"/>
      </items>
    </pivotField>
    <pivotField showAll="0"/>
    <pivotField axis="axisRow" showAll="0">
      <items count="3">
        <item x="0"/>
        <item x="1"/>
        <item t="default"/>
      </items>
    </pivotField>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
    <field x="3"/>
  </rowFields>
  <rowItems count="10">
    <i>
      <x/>
    </i>
    <i r="1">
      <x/>
    </i>
    <i r="1">
      <x v="1"/>
    </i>
    <i>
      <x v="1"/>
    </i>
    <i r="1">
      <x/>
    </i>
    <i r="1">
      <x v="1"/>
    </i>
    <i>
      <x v="2"/>
    </i>
    <i r="1">
      <x/>
    </i>
    <i r="1">
      <x v="1"/>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455FA8C-A58C-41A3-8F33-75C1C67F0284}"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21">
    <pivotField showAll="0"/>
    <pivotField showAll="0"/>
    <pivotField showAll="0"/>
    <pivotField showAll="0"/>
    <pivotField showAll="0"/>
    <pivotField axis="axisRow" showAll="0">
      <items count="7">
        <item x="1"/>
        <item x="5"/>
        <item x="4"/>
        <item x="0"/>
        <item x="2"/>
        <item x="3"/>
        <item t="default"/>
      </items>
    </pivotField>
    <pivotField dataField="1"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Unit price"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1C9604F-5BF2-4C82-8211-8AB5519717D1}"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0" firstHeaderRow="0" firstDataRow="1" firstDataCol="1"/>
  <pivotFields count="21">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axis="axisRow" compact="0" outline="0" showAll="0" insertBlankRow="1">
      <items count="7">
        <item x="1"/>
        <item x="5"/>
        <item x="4"/>
        <item x="0"/>
        <item x="2"/>
        <item x="3"/>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dataField="1"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dataField="1" compact="0" outline="0" showAll="0" insertBlankRow="1">
      <extLst>
        <ext xmlns:x14="http://schemas.microsoft.com/office/spreadsheetml/2009/9/main" uri="{2946ED86-A175-432a-8AC1-64E0C546D7DE}">
          <x14:pivotField fillDownLabels="1"/>
        </ext>
      </extLst>
    </pivotField>
    <pivotField compact="0" numFmtId="14" outline="0" showAll="0" insertBlankRow="1">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extLst>
        <ext xmlns:x14="http://schemas.microsoft.com/office/spreadsheetml/2009/9/main" uri="{2946ED86-A175-432a-8AC1-64E0C546D7DE}">
          <x14:pivotField fillDownLabels="1"/>
        </ext>
      </extLst>
    </pivotField>
    <pivotField compact="0" numFmtId="20" outline="0" showAll="0" insertBlankRow="1">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dataField="1"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extLst>
        <ext xmlns:x14="http://schemas.microsoft.com/office/spreadsheetml/2009/9/main" uri="{2946ED86-A175-432a-8AC1-64E0C546D7DE}">
          <x14:pivotField fillDownLabels="1"/>
        </ext>
      </extLst>
    </pivotField>
    <pivotField compact="0" outline="0" showAll="0" insertBlankRow="1">
      <items count="27">
        <item x="0"/>
        <item x="1"/>
        <item x="2"/>
        <item x="3"/>
        <item x="4"/>
        <item x="5"/>
        <item x="6"/>
        <item x="7"/>
        <item x="8"/>
        <item x="9"/>
        <item x="10"/>
        <item x="11"/>
        <item x="12"/>
        <item x="13"/>
        <item x="14"/>
        <item x="15"/>
        <item x="16"/>
        <item x="17"/>
        <item x="18"/>
        <item x="19"/>
        <item x="20"/>
        <item x="21"/>
        <item x="22"/>
        <item x="23"/>
        <item x="24"/>
        <item x="25"/>
        <item t="default"/>
      </items>
      <extLst>
        <ext xmlns:x14="http://schemas.microsoft.com/office/spreadsheetml/2009/9/main" uri="{2946ED86-A175-432a-8AC1-64E0C546D7DE}">
          <x14:pivotField fillDownLabels="1"/>
        </ext>
      </extLst>
    </pivotField>
    <pivotField compact="0" outline="0" showAll="0" insertBlankRow="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nsertBlankRow="1">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1">
    <field x="5"/>
  </rowFields>
  <rowItems count="7">
    <i>
      <x/>
    </i>
    <i>
      <x v="1"/>
    </i>
    <i>
      <x v="2"/>
    </i>
    <i>
      <x v="3"/>
    </i>
    <i>
      <x v="4"/>
    </i>
    <i>
      <x v="5"/>
    </i>
    <i t="grand">
      <x/>
    </i>
  </rowItems>
  <colFields count="1">
    <field x="-2"/>
  </colFields>
  <colItems count="3">
    <i>
      <x/>
    </i>
    <i i="1">
      <x v="1"/>
    </i>
    <i i="2">
      <x v="2"/>
    </i>
  </colItems>
  <dataFields count="3">
    <dataField name="Sum of Total" fld="9" baseField="0" baseItem="0"/>
    <dataField name="Sum of Quantity" fld="7" baseField="0" baseItem="0"/>
    <dataField name="Sum of gross income" fld="15" baseField="0" baseItem="0"/>
  </dataFields>
  <formats count="8">
    <format dxfId="49">
      <pivotArea field="5" type="button" dataOnly="0" labelOnly="1" outline="0" axis="axisRow" fieldPosition="0"/>
    </format>
    <format dxfId="48">
      <pivotArea dataOnly="0" labelOnly="1" outline="0" fieldPosition="0">
        <references count="1">
          <reference field="4294967294" count="3">
            <x v="0"/>
            <x v="1"/>
            <x v="2"/>
          </reference>
        </references>
      </pivotArea>
    </format>
    <format dxfId="47">
      <pivotArea field="5" type="button" dataOnly="0" labelOnly="1" outline="0" axis="axisRow" fieldPosition="0"/>
    </format>
    <format dxfId="46">
      <pivotArea dataOnly="0" labelOnly="1" outline="0" fieldPosition="0">
        <references count="1">
          <reference field="4294967294" count="3">
            <x v="0"/>
            <x v="1"/>
            <x v="2"/>
          </reference>
        </references>
      </pivotArea>
    </format>
    <format dxfId="45">
      <pivotArea field="5" type="button" dataOnly="0" labelOnly="1" outline="0" axis="axisRow" fieldPosition="0"/>
    </format>
    <format dxfId="44">
      <pivotArea dataOnly="0" labelOnly="1" outline="0" fieldPosition="0">
        <references count="1">
          <reference field="4294967294" count="3">
            <x v="0"/>
            <x v="1"/>
            <x v="2"/>
          </reference>
        </references>
      </pivotArea>
    </format>
    <format dxfId="43">
      <pivotArea dataOnly="0" grandRow="1" outline="0" fieldPosition="0"/>
    </format>
    <format dxfId="42">
      <pivotArea dataOnly="0" grandRow="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InsertBlankRowDefault="1"/>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FD439C2-1F19-42D1-94D0-21D61D87E15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21">
    <pivotField showAll="0"/>
    <pivotField showAll="0"/>
    <pivotField showAll="0"/>
    <pivotField showAll="0"/>
    <pivotField showAll="0"/>
    <pivotField axis="axisRow" showAll="0">
      <items count="7">
        <item x="1"/>
        <item x="5"/>
        <item x="4"/>
        <item x="0"/>
        <item x="2"/>
        <item x="3"/>
        <item t="default"/>
      </items>
    </pivotField>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Quantity" fld="7" baseField="0" baseItem="0"/>
  </dataFields>
  <chartFormats count="2">
    <chartFormat chart="1"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4CBA9D1-DA7C-4210-A304-53831243D78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21">
    <pivotField showAll="0"/>
    <pivotField showAll="0"/>
    <pivotField showAll="0"/>
    <pivotField showAll="0"/>
    <pivotField showAll="0"/>
    <pivotField axis="axisRow"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chartFormats count="2">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AAE4634-DF2F-41DA-AE71-58DDCEFBA344}"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5" firstHeaderRow="0" firstDataRow="1" firstDataCol="1"/>
  <pivotFields count="21">
    <pivotField showAll="0"/>
    <pivotField showAll="0">
      <items count="4">
        <item h="1" x="0"/>
        <item x="2"/>
        <item h="1" x="1"/>
        <item t="default"/>
      </items>
    </pivotField>
    <pivotField showAll="0"/>
    <pivotField axis="axisRow" showAll="0">
      <items count="3">
        <item x="0"/>
        <item h="1" x="1"/>
        <item t="default"/>
      </items>
    </pivotField>
    <pivotField showAll="0">
      <items count="3">
        <item x="0"/>
        <item h="1" x="1"/>
        <item t="default"/>
      </items>
    </pivotField>
    <pivotField showAll="0">
      <items count="7">
        <item h="1" x="1"/>
        <item h="1" x="5"/>
        <item x="4"/>
        <item h="1" x="0"/>
        <item h="1" x="2"/>
        <item h="1"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h="1" x="2"/>
        <item h="1" x="0"/>
        <item t="default"/>
      </items>
    </pivotField>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i>
    <i t="grand">
      <x/>
    </i>
  </rowItems>
  <colFields count="1">
    <field x="-2"/>
  </colFields>
  <colItems count="2">
    <i>
      <x/>
    </i>
    <i i="1">
      <x v="1"/>
    </i>
  </colItems>
  <dataFields count="2">
    <dataField name="Sum of Total" fld="9" baseField="0" baseItem="0"/>
    <dataField name="Sum of gross income" fld="15" baseField="0" baseItem="0"/>
  </dataFields>
  <pivotTableStyleInfo name="PivotStyleLight16" showRowHeaders="1" showColHeaders="1" showRowStripes="0" showColStripes="0" showLastColumn="1"/>
  <filters count="1">
    <filter fld="11" type="dateBetween" evalOrder="-1" id="2" name="Time">
      <autoFilter ref="A1">
        <filterColumn colId="0">
          <customFilters and="1">
            <customFilter operator="greaterThanOrEqual" val="1"/>
            <customFilter operator="lessThanOrEqual" val="3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5603811-EC5C-490D-AB75-243ECEAEE828}" name="Branchanl_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1">
    <pivotField showAll="0"/>
    <pivotField axis="axisRow" showAll="0">
      <items count="4">
        <item x="0"/>
        <item x="2"/>
        <item x="1"/>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Total" fld="9"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32744C7-CFE7-4DA7-8B9E-98EDCAEB987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1">
    <pivotField showAll="0"/>
    <pivotField axis="axisRow" showAll="0">
      <items count="4">
        <item x="0"/>
        <item x="2"/>
        <item x="1"/>
        <item t="default"/>
      </items>
    </pivotField>
    <pivotField showAll="0"/>
    <pivotField showAll="0"/>
    <pivotField showAll="0"/>
    <pivotField showAll="0"/>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Quantity" fld="7"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DEBDE85-30B3-47B0-8E67-2C5E419964B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1">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Average of Rating" fld="16" subtotal="average" baseField="1"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610E408-8BA3-4BEC-89CD-3F41588C49B7}"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1">
    <pivotField showAll="0"/>
    <pivotField axis="axisRow" showAll="0">
      <items count="4">
        <item x="0"/>
        <item x="2"/>
        <item x="1"/>
        <item t="default"/>
      </items>
    </pivotField>
    <pivotField showAll="0"/>
    <pivotField showAll="0"/>
    <pivotField showAll="0"/>
    <pivotField showAll="0"/>
    <pivotField dataField="1"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Unit price" fld="6"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C4F7EB0-5938-4625-9CCE-4427FB46DF4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es ">
  <location ref="A3:D7" firstHeaderRow="0" firstDataRow="1" firstDataCol="1"/>
  <pivotFields count="21">
    <pivotField showAll="0"/>
    <pivotField axis="axisRow" showAll="0">
      <items count="4">
        <item x="0"/>
        <item x="2"/>
        <item x="1"/>
        <item t="default"/>
      </items>
    </pivotField>
    <pivotField showAll="0"/>
    <pivotField showAll="0"/>
    <pivotField showAll="0"/>
    <pivotField showAll="0"/>
    <pivotField showAll="0"/>
    <pivotField dataField="1"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showAll="0"/>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Quantity" fld="7" baseField="0" baseItem="0"/>
    <dataField name="Average of Rating" fld="16" subtotal="average" baseField="1" baseItem="0"/>
  </dataFields>
  <formats count="24">
    <format dxfId="41">
      <pivotArea dataOnly="0" labelOnly="1" outline="0" fieldPosition="0">
        <references count="1">
          <reference field="4294967294" count="3">
            <x v="0"/>
            <x v="1"/>
            <x v="2"/>
          </reference>
        </references>
      </pivotArea>
    </format>
    <format dxfId="40">
      <pivotArea dataOnly="0" labelOnly="1" outline="0" fieldPosition="0">
        <references count="1">
          <reference field="4294967294" count="3">
            <x v="0"/>
            <x v="1"/>
            <x v="2"/>
          </reference>
        </references>
      </pivotArea>
    </format>
    <format dxfId="39">
      <pivotArea dataOnly="0" labelOnly="1" outline="0" fieldPosition="0">
        <references count="1">
          <reference field="4294967294" count="3">
            <x v="0"/>
            <x v="1"/>
            <x v="2"/>
          </reference>
        </references>
      </pivotArea>
    </format>
    <format dxfId="38">
      <pivotArea field="1" type="button" dataOnly="0" labelOnly="1" outline="0" axis="axisRow" fieldPosition="0"/>
    </format>
    <format dxfId="37">
      <pivotArea field="1" type="button" dataOnly="0" labelOnly="1" outline="0" axis="axisRow" fieldPosition="0"/>
    </format>
    <format dxfId="36">
      <pivotArea field="1" type="button" dataOnly="0" labelOnly="1" outline="0" axis="axisRow" fieldPosition="0"/>
    </format>
    <format dxfId="35">
      <pivotArea field="1" type="button" dataOnly="0" labelOnly="1" outline="0" axis="axisRow" fieldPosition="0"/>
    </format>
    <format dxfId="34">
      <pivotArea field="1" type="button" dataOnly="0" labelOnly="1" outline="0" axis="axisRow" fieldPosition="0"/>
    </format>
    <format dxfId="33">
      <pivotArea dataOnly="0" labelOnly="1" outline="0" fieldPosition="0">
        <references count="1">
          <reference field="4294967294" count="3">
            <x v="0"/>
            <x v="1"/>
            <x v="2"/>
          </reference>
        </references>
      </pivotArea>
    </format>
    <format dxfId="32">
      <pivotArea field="1" type="button" dataOnly="0" labelOnly="1" outline="0" axis="axisRow" fieldPosition="0"/>
    </format>
    <format dxfId="31">
      <pivotArea dataOnly="0" labelOnly="1" outline="0" fieldPosition="0">
        <references count="1">
          <reference field="4294967294" count="3">
            <x v="0"/>
            <x v="1"/>
            <x v="2"/>
          </reference>
        </references>
      </pivotArea>
    </format>
    <format dxfId="30">
      <pivotArea dataOnly="0" labelOnly="1" grandRow="1" outline="0" fieldPosition="0"/>
    </format>
    <format dxfId="29">
      <pivotArea dataOnly="0" labelOnly="1" grandRow="1" outline="0" fieldPosition="0"/>
    </format>
    <format dxfId="28">
      <pivotArea grandRow="1" outline="0" collapsedLevelsAreSubtotals="1" fieldPosition="0"/>
    </format>
    <format dxfId="27">
      <pivotArea dataOnly="0" labelOnly="1" grandRow="1" outline="0" fieldPosition="0"/>
    </format>
    <format dxfId="26">
      <pivotArea grandRow="1" outline="0" collapsedLevelsAreSubtotals="1" fieldPosition="0"/>
    </format>
    <format dxfId="25">
      <pivotArea dataOnly="0" labelOnly="1" grandRow="1" outline="0" fieldPosition="0"/>
    </format>
    <format dxfId="24">
      <pivotArea outline="0" collapsedLevelsAreSubtotals="1" fieldPosition="0">
        <references count="1">
          <reference field="4294967294" count="1" selected="0">
            <x v="2"/>
          </reference>
        </references>
      </pivotArea>
    </format>
    <format dxfId="23">
      <pivotArea outline="0" collapsedLevelsAreSubtotals="1" fieldPosition="0">
        <references count="1">
          <reference field="4294967294" count="1" selected="0">
            <x v="1"/>
          </reference>
        </references>
      </pivotArea>
    </format>
    <format dxfId="22">
      <pivotArea outline="0" collapsedLevelsAreSubtotals="1" fieldPosition="0">
        <references count="1">
          <reference field="4294967294" count="1" selected="0">
            <x v="0"/>
          </reference>
        </references>
      </pivotArea>
    </format>
    <format dxfId="21">
      <pivotArea dataOnly="0" labelOnly="1" fieldPosition="0">
        <references count="1">
          <reference field="1" count="0"/>
        </references>
      </pivotArea>
    </format>
    <format dxfId="20">
      <pivotArea dataOnly="0" labelOnly="1" grandRow="1" outline="0" fieldPosition="0"/>
    </format>
    <format dxfId="19">
      <pivotArea dataOnly="0" labelOnly="1" fieldPosition="0">
        <references count="1">
          <reference field="1" count="0"/>
        </references>
      </pivotArea>
    </format>
    <format dxfId="18">
      <pivotArea dataOnly="0" labelOnly="1" grandRow="1" outline="0"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384070B5-9312-4538-99E3-46F6B34A6DA9}" sourceName="Payment">
  <pivotTables>
    <pivotTable tabId="20" name="PivotTable5"/>
    <pivotTable tabId="6" name="PivotTable7"/>
    <pivotTable tabId="17" name="PivotTable1"/>
    <pivotTable tabId="18" name="PivotTable3"/>
    <pivotTable tabId="5" name="PivotTable6"/>
    <pivotTable tabId="7" name="PivotTable9"/>
    <pivotTable tabId="19" name="PivotTable4"/>
    <pivotTable tabId="4" name="PivotTable5"/>
    <pivotTable tabId="21" name="PivotTable6"/>
    <pivotTable tabId="26" name="PivotTable3"/>
  </pivotTables>
  <data>
    <tabular pivotCacheId="1940506303">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3FC3AEC-36ED-43B2-9E6B-EDC391806367}" sourceName="Customer type">
  <pivotTables>
    <pivotTable tabId="21" name="PivotTable6"/>
    <pivotTable tabId="6" name="PivotTable7"/>
    <pivotTable tabId="17" name="PivotTable1"/>
    <pivotTable tabId="18" name="PivotTable3"/>
    <pivotTable tabId="5" name="PivotTable6"/>
    <pivotTable tabId="7" name="PivotTable9"/>
    <pivotTable tabId="19" name="PivotTable4"/>
    <pivotTable tabId="20" name="PivotTable5"/>
    <pivotTable tabId="4" name="PivotTable5"/>
  </pivotTables>
  <data>
    <tabular pivotCacheId="1940506303">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7F5F773-290D-4966-8624-7D9C699EC987}" sourceName="Gender">
  <pivotTables>
    <pivotTable tabId="21" name="PivotTable6"/>
    <pivotTable tabId="6" name="PivotTable7"/>
    <pivotTable tabId="17" name="PivotTable1"/>
    <pivotTable tabId="18" name="PivotTable3"/>
    <pivotTable tabId="5" name="PivotTable6"/>
    <pivotTable tabId="7" name="PivotTable9"/>
    <pivotTable tabId="19" name="PivotTable4"/>
    <pivotTable tabId="20" name="PivotTable5"/>
    <pivotTable tabId="4" name="PivotTable5"/>
    <pivotTable tabId="26" name="PivotTable3"/>
  </pivotTables>
  <data>
    <tabular pivotCacheId="1940506303">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64C5C97C-E029-4735-B044-42BA31012893}" sourceName="Product line">
  <pivotTables>
    <pivotTable tabId="21" name="PivotTable6"/>
    <pivotTable tabId="6" name="PivotTable7"/>
    <pivotTable tabId="18" name="PivotTable3"/>
    <pivotTable tabId="5" name="PivotTable6"/>
    <pivotTable tabId="7" name="PivotTable9"/>
    <pivotTable tabId="19" name="PivotTable4"/>
    <pivotTable tabId="20" name="PivotTable5"/>
    <pivotTable tabId="4" name="PivotTable5"/>
    <pivotTable tabId="26" name="PivotTable3"/>
  </pivotTables>
  <data>
    <tabular pivotCacheId="1940506303">
      <items count="6">
        <i x="1"/>
        <i x="5"/>
        <i x="4" s="1"/>
        <i x="0"/>
        <i x="2"/>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1D9D7505-71D9-4691-9264-90DA6F800EAA}" sourceName="Branch">
  <pivotTables>
    <pivotTable tabId="21" name="PivotTable6"/>
    <pivotTable tabId="6" name="PivotTable7"/>
    <pivotTable tabId="17" name="PivotTable1"/>
    <pivotTable tabId="5" name="PivotTable6"/>
    <pivotTable tabId="7" name="PivotTable9"/>
    <pivotTable tabId="20" name="PivotTable5"/>
    <pivotTable tabId="4" name="PivotTable5"/>
    <pivotTable tabId="26" name="PivotTable3"/>
  </pivotTables>
  <data>
    <tabular pivotCacheId="1940506303">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1" xr10:uid="{61AEB4A6-A6D9-49A5-B01D-E622F60731EE}" cache="Slicer_Payment" caption="Payment" style="Slicer Style 3" rowHeight="234950"/>
  <slicer name="Gender 1" xr10:uid="{A2CCE227-6839-4662-AFE8-02C6BD27DC7A}" cache="Slicer_Gender" caption="Gender" style="Slicer Style 3" rowHeight="234950"/>
  <slicer name="Product line 1" xr10:uid="{FB67DB68-07BC-4EED-B4A7-260E1450472F}" cache="Slicer_Product_line" caption="Product line" style="Slicer Style 3" rowHeight="234950"/>
  <slicer name="Branch 1" xr10:uid="{EE683D43-8C63-49CD-80F5-EB671AC2B6B5}" cache="Slicer_Branch" caption="Branch" style="Slicer Style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2377D978-B9E3-4A36-8B23-B518A5472E35}" cache="Slicer_Payment" caption="Paymen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85424076-F32E-4645-94E7-752764F8DC42}" cache="Slicer_Customer_type" caption="Customer type" rowHeight="234950"/>
  <slicer name="Gender" xr10:uid="{33023F9A-A49B-4751-B5FA-3453927E23EF}" cache="Slicer_Gender" caption="Gender" rowHeight="234950"/>
  <slicer name="Product line" xr10:uid="{901B5704-3E32-4DEB-9D8E-1B936FBC30F6}" cache="Slicer_Product_line" caption="Product line" rowHeight="234950"/>
  <slicer name="Branch" xr10:uid="{AAFFDB1F-3EC5-45BF-A011-7C99521F00AC}" cache="Slicer_Branch" caption="Branc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D220E1E-AA9B-4BFA-BCBC-1DB33315AEC8}" sourceName="Date">
  <pivotTables>
    <pivotTable tabId="54" name="PivotTable1"/>
  </pivotTables>
  <state minimalRefreshVersion="6" lastRefreshVersion="6" pivotCacheId="1940506303" filterType="dateBetween">
    <selection startDate="2019-03-01T00:00:00" endDate="2019-03-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4E6DFDF-FC4F-4C8F-B938-CEF3B03DFD9C}" cache="NativeTimeline_Date" caption="Date" level="2" selectionLevel="2"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A5996D4-89AD-47C1-8383-A3DDF667A671}" cache="NativeTimeline_Date" caption="Date" level="2" selectionLevel="2" scrollPosition="2019-01-01T00:00:00" style="TimeSlicerStyleDark3"/>
</timeline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4.xml"/><Relationship Id="rId1"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9.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20.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22.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23.xml"/></Relationships>
</file>

<file path=xl/worksheets/_rels/sheet2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21.xml"/><Relationship Id="rId1" Type="http://schemas.openxmlformats.org/officeDocument/2006/relationships/pivotTable" Target="../pivotTables/pivotTable2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25.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26.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ivotTable" Target="../pivotTables/pivotTable27.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ivotTable" Target="../pivotTables/pivotTable28.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CB067-E34A-49AA-89FB-BBA54BEA30B5}">
  <dimension ref="A1:AC41"/>
  <sheetViews>
    <sheetView zoomScale="99" workbookViewId="0"/>
  </sheetViews>
  <sheetFormatPr defaultRowHeight="14.4" x14ac:dyDescent="0.3"/>
  <sheetData>
    <row r="1" spans="1:29" ht="14.4" customHeight="1" x14ac:dyDescent="0.3">
      <c r="A1" s="6"/>
      <c r="B1" s="6"/>
      <c r="C1" s="6"/>
      <c r="D1" s="35" t="s">
        <v>1042</v>
      </c>
      <c r="E1" s="35"/>
      <c r="F1" s="35"/>
      <c r="G1" s="35"/>
      <c r="H1" s="35"/>
      <c r="I1" s="35"/>
      <c r="J1" s="35"/>
      <c r="K1" s="35"/>
      <c r="L1" s="35"/>
      <c r="M1" s="35"/>
      <c r="N1" s="35"/>
      <c r="O1" s="35"/>
      <c r="P1" s="35"/>
      <c r="Q1" s="35"/>
      <c r="R1" s="35"/>
      <c r="S1" s="35"/>
      <c r="T1" s="35"/>
      <c r="U1" s="5"/>
      <c r="V1" s="5"/>
      <c r="W1" s="5"/>
      <c r="X1" s="5"/>
      <c r="Y1" s="10"/>
      <c r="Z1" s="10"/>
      <c r="AA1" s="10"/>
      <c r="AB1" s="10"/>
      <c r="AC1" s="10"/>
    </row>
    <row r="2" spans="1:29" ht="14.4" customHeight="1" x14ac:dyDescent="0.3">
      <c r="A2" s="6"/>
      <c r="B2" s="6"/>
      <c r="C2" s="6"/>
      <c r="D2" s="35"/>
      <c r="E2" s="35"/>
      <c r="F2" s="35"/>
      <c r="G2" s="35"/>
      <c r="H2" s="35"/>
      <c r="I2" s="35"/>
      <c r="J2" s="35"/>
      <c r="K2" s="35"/>
      <c r="L2" s="35"/>
      <c r="M2" s="35"/>
      <c r="N2" s="35"/>
      <c r="O2" s="35"/>
      <c r="P2" s="35"/>
      <c r="Q2" s="35"/>
      <c r="R2" s="35"/>
      <c r="S2" s="35"/>
      <c r="T2" s="35"/>
      <c r="U2" s="5"/>
      <c r="V2" s="5"/>
      <c r="W2" s="5"/>
      <c r="X2" s="5"/>
      <c r="Y2" s="10"/>
      <c r="Z2" s="10"/>
      <c r="AA2" s="10"/>
      <c r="AB2" s="10"/>
      <c r="AC2" s="10"/>
    </row>
    <row r="3" spans="1:29" ht="14.4" customHeight="1" x14ac:dyDescent="0.3">
      <c r="A3" s="6"/>
      <c r="B3" s="6"/>
      <c r="C3" s="6"/>
      <c r="D3" s="35"/>
      <c r="E3" s="35"/>
      <c r="F3" s="35"/>
      <c r="G3" s="35"/>
      <c r="H3" s="35"/>
      <c r="I3" s="35"/>
      <c r="J3" s="35"/>
      <c r="K3" s="35"/>
      <c r="L3" s="35"/>
      <c r="M3" s="35"/>
      <c r="N3" s="35"/>
      <c r="O3" s="35"/>
      <c r="P3" s="35"/>
      <c r="Q3" s="35"/>
      <c r="R3" s="35"/>
      <c r="S3" s="35"/>
      <c r="T3" s="35"/>
      <c r="U3" s="5"/>
      <c r="V3" s="5"/>
      <c r="W3" s="5"/>
      <c r="X3" s="5"/>
      <c r="Y3" s="10"/>
      <c r="Z3" s="10"/>
      <c r="AA3" s="10"/>
      <c r="AB3" s="10"/>
      <c r="AC3" s="10"/>
    </row>
    <row r="4" spans="1:29" ht="14.4" customHeight="1" x14ac:dyDescent="0.3">
      <c r="A4" s="6"/>
      <c r="B4" s="6"/>
      <c r="C4" s="6"/>
      <c r="D4" s="8"/>
      <c r="E4" s="8"/>
      <c r="F4" s="8"/>
      <c r="G4" s="32"/>
      <c r="H4" s="32"/>
      <c r="I4" s="32"/>
      <c r="J4" s="32"/>
      <c r="K4" s="32"/>
      <c r="L4" s="32"/>
      <c r="M4" s="32"/>
      <c r="N4" s="32"/>
      <c r="O4" s="32"/>
      <c r="P4" s="32"/>
      <c r="Q4" s="32"/>
      <c r="R4" s="32"/>
      <c r="S4" s="32"/>
      <c r="T4" s="32"/>
      <c r="U4" s="7"/>
      <c r="V4" s="7"/>
      <c r="W4" s="7"/>
      <c r="X4" s="7"/>
      <c r="Y4" s="7"/>
      <c r="Z4" s="7"/>
      <c r="AA4" s="7"/>
      <c r="AB4" s="7"/>
      <c r="AC4" s="7"/>
    </row>
    <row r="5" spans="1:29" ht="14.4" customHeight="1" x14ac:dyDescent="0.3">
      <c r="A5" s="6"/>
      <c r="B5" s="6"/>
      <c r="C5" s="6"/>
      <c r="D5" s="7"/>
      <c r="E5" s="7"/>
      <c r="F5" s="7"/>
      <c r="G5" s="33"/>
      <c r="H5" s="33"/>
      <c r="I5" s="33"/>
      <c r="J5" s="33"/>
      <c r="K5" s="33"/>
      <c r="L5" s="33"/>
      <c r="M5" s="33"/>
      <c r="N5" s="33"/>
      <c r="O5" s="33"/>
      <c r="P5" s="33"/>
      <c r="Q5" s="33"/>
      <c r="R5" s="33"/>
      <c r="S5" s="33"/>
      <c r="T5" s="33"/>
      <c r="U5" s="7"/>
      <c r="V5" s="7"/>
      <c r="W5" s="7"/>
      <c r="X5" s="7"/>
      <c r="Y5" s="7"/>
      <c r="Z5" s="7"/>
      <c r="AA5" s="7"/>
      <c r="AB5" s="7"/>
      <c r="AC5" s="7"/>
    </row>
    <row r="6" spans="1:29" ht="14.4" customHeight="1" x14ac:dyDescent="0.3">
      <c r="A6" s="6"/>
      <c r="B6" s="6"/>
      <c r="C6" s="6"/>
      <c r="D6" s="7"/>
      <c r="E6" s="7"/>
      <c r="F6" s="7"/>
      <c r="G6" s="7"/>
      <c r="H6" s="7"/>
      <c r="I6" s="7"/>
      <c r="J6" s="7"/>
      <c r="K6" s="7"/>
      <c r="L6" s="7"/>
      <c r="M6" s="7"/>
      <c r="N6" s="7"/>
      <c r="O6" s="7"/>
      <c r="P6" s="7"/>
      <c r="Q6" s="7"/>
      <c r="R6" s="7"/>
      <c r="S6" s="7"/>
      <c r="T6" s="7"/>
      <c r="U6" s="7"/>
      <c r="V6" s="7"/>
      <c r="W6" s="7"/>
      <c r="X6" s="7"/>
      <c r="Y6" s="7"/>
      <c r="Z6" s="7"/>
      <c r="AA6" s="7"/>
      <c r="AB6" s="7"/>
      <c r="AC6" s="7"/>
    </row>
    <row r="7" spans="1:29" x14ac:dyDescent="0.3">
      <c r="A7" s="6"/>
      <c r="B7" s="6"/>
      <c r="C7" s="6"/>
      <c r="D7" s="7"/>
      <c r="E7" s="7"/>
      <c r="F7" s="7"/>
      <c r="G7" s="7"/>
      <c r="H7" s="7"/>
      <c r="I7" s="7"/>
      <c r="J7" s="7"/>
      <c r="K7" s="7"/>
      <c r="L7" s="7"/>
      <c r="M7" s="7"/>
      <c r="N7" s="7"/>
      <c r="O7" s="7"/>
      <c r="P7" s="7"/>
      <c r="Q7" s="7"/>
      <c r="R7" s="7"/>
      <c r="S7" s="7"/>
      <c r="T7" s="7"/>
      <c r="U7" s="7"/>
      <c r="V7" s="7"/>
      <c r="W7" s="7"/>
      <c r="X7" s="7"/>
      <c r="Y7" s="7"/>
      <c r="Z7" s="7"/>
      <c r="AA7" s="7"/>
      <c r="AB7" s="7"/>
      <c r="AC7" s="7"/>
    </row>
    <row r="8" spans="1:29" x14ac:dyDescent="0.3">
      <c r="A8" s="6"/>
      <c r="B8" s="6"/>
      <c r="C8" s="6"/>
      <c r="D8" s="7"/>
      <c r="E8" s="7"/>
      <c r="F8" s="7"/>
      <c r="G8" s="7"/>
      <c r="H8" s="7"/>
      <c r="I8" s="7"/>
      <c r="J8" s="7"/>
      <c r="K8" s="7"/>
      <c r="L8" s="7"/>
      <c r="M8" s="7"/>
      <c r="N8" s="7"/>
      <c r="O8" s="7"/>
      <c r="P8" s="7"/>
      <c r="Q8" s="7"/>
      <c r="R8" s="7"/>
      <c r="S8" s="7"/>
      <c r="T8" s="7"/>
      <c r="U8" s="7"/>
      <c r="V8" s="7"/>
      <c r="W8" s="7"/>
      <c r="X8" s="7"/>
      <c r="Y8" s="7"/>
      <c r="Z8" s="7"/>
      <c r="AA8" s="7"/>
      <c r="AB8" s="7"/>
      <c r="AC8" s="7"/>
    </row>
    <row r="9" spans="1:29" x14ac:dyDescent="0.3">
      <c r="A9" s="6"/>
      <c r="B9" s="6"/>
      <c r="C9" s="6"/>
      <c r="D9" s="7"/>
      <c r="E9" s="7"/>
      <c r="F9" s="7"/>
      <c r="G9" s="7"/>
      <c r="H9" s="7"/>
      <c r="I9" s="7"/>
      <c r="J9" s="7"/>
      <c r="K9" s="7"/>
      <c r="L9" s="7"/>
      <c r="M9" s="7"/>
      <c r="N9" s="7"/>
      <c r="O9" s="7"/>
      <c r="P9" s="7"/>
      <c r="Q9" s="7"/>
      <c r="R9" s="7"/>
      <c r="S9" s="7"/>
      <c r="T9" s="7"/>
      <c r="U9" s="7"/>
      <c r="V9" s="7"/>
      <c r="W9" s="7"/>
      <c r="X9" s="7"/>
      <c r="Y9" s="7"/>
      <c r="Z9" s="7"/>
      <c r="AA9" s="7"/>
      <c r="AB9" s="7"/>
      <c r="AC9" s="7"/>
    </row>
    <row r="10" spans="1:29" x14ac:dyDescent="0.3">
      <c r="A10" s="6"/>
      <c r="B10" s="6"/>
      <c r="C10" s="6"/>
      <c r="D10" s="7"/>
      <c r="E10" s="7"/>
      <c r="F10" s="7"/>
      <c r="G10" s="7"/>
      <c r="H10" s="7"/>
      <c r="I10" s="7"/>
      <c r="J10" s="7"/>
      <c r="K10" s="7"/>
      <c r="L10" s="7"/>
      <c r="M10" s="7"/>
      <c r="N10" s="7"/>
      <c r="O10" s="7"/>
      <c r="P10" s="7"/>
      <c r="Q10" s="7"/>
      <c r="R10" s="7"/>
      <c r="S10" s="7"/>
      <c r="T10" s="7"/>
      <c r="U10" s="7"/>
      <c r="V10" s="7"/>
      <c r="W10" s="7"/>
      <c r="X10" s="7"/>
      <c r="Y10" s="7"/>
      <c r="Z10" s="7"/>
      <c r="AA10" s="7"/>
      <c r="AB10" s="7"/>
      <c r="AC10" s="7"/>
    </row>
    <row r="11" spans="1:29" x14ac:dyDescent="0.3">
      <c r="A11" s="6"/>
      <c r="B11" s="6"/>
      <c r="C11" s="6"/>
      <c r="D11" s="7"/>
      <c r="E11" s="7"/>
      <c r="F11" s="7"/>
      <c r="G11" s="7"/>
      <c r="H11" s="7"/>
      <c r="I11" s="7"/>
      <c r="J11" s="7"/>
      <c r="K11" s="7"/>
      <c r="L11" s="7"/>
      <c r="M11" s="7"/>
      <c r="N11" s="7"/>
      <c r="O11" s="7"/>
      <c r="P11" s="7"/>
      <c r="Q11" s="7"/>
      <c r="R11" s="7"/>
      <c r="S11" s="7"/>
      <c r="T11" s="7"/>
      <c r="U11" s="7"/>
      <c r="V11" s="7"/>
      <c r="W11" s="7"/>
      <c r="X11" s="7"/>
      <c r="Y11" s="7"/>
      <c r="Z11" s="7"/>
      <c r="AA11" s="7"/>
      <c r="AB11" s="7"/>
      <c r="AC11" s="7"/>
    </row>
    <row r="12" spans="1:29" x14ac:dyDescent="0.3">
      <c r="A12" s="6"/>
      <c r="B12" s="6"/>
      <c r="C12" s="6"/>
      <c r="D12" s="7"/>
      <c r="E12" s="7"/>
      <c r="F12" s="7"/>
      <c r="G12" s="7"/>
      <c r="H12" s="7"/>
      <c r="I12" s="7"/>
      <c r="J12" s="7"/>
      <c r="K12" s="7"/>
      <c r="L12" s="7"/>
      <c r="M12" s="7"/>
      <c r="N12" s="7"/>
      <c r="O12" s="7"/>
      <c r="P12" s="7"/>
      <c r="Q12" s="7"/>
      <c r="R12" s="7"/>
      <c r="S12" s="7"/>
      <c r="T12" s="7"/>
      <c r="U12" s="7"/>
      <c r="V12" s="7"/>
      <c r="W12" s="7"/>
      <c r="X12" s="7"/>
      <c r="Y12" s="7"/>
      <c r="Z12" s="7"/>
      <c r="AA12" s="7"/>
      <c r="AB12" s="7"/>
      <c r="AC12" s="7"/>
    </row>
    <row r="13" spans="1:29" x14ac:dyDescent="0.3">
      <c r="A13" s="6"/>
      <c r="B13" s="6"/>
      <c r="C13" s="6"/>
      <c r="D13" s="7"/>
      <c r="E13" s="7"/>
      <c r="F13" s="7"/>
      <c r="G13" s="7"/>
      <c r="H13" s="7"/>
      <c r="I13" s="7"/>
      <c r="J13" s="7"/>
      <c r="K13" s="7"/>
      <c r="L13" s="7"/>
      <c r="M13" s="7"/>
      <c r="N13" s="7"/>
      <c r="O13" s="7"/>
      <c r="P13" s="7"/>
      <c r="Q13" s="7"/>
      <c r="R13" s="7"/>
      <c r="S13" s="7"/>
      <c r="T13" s="7"/>
      <c r="U13" s="7"/>
      <c r="V13" s="7"/>
      <c r="W13" s="7"/>
      <c r="X13" s="7"/>
      <c r="Y13" s="7"/>
      <c r="Z13" s="7"/>
      <c r="AA13" s="7"/>
      <c r="AB13" s="7"/>
      <c r="AC13" s="7"/>
    </row>
    <row r="14" spans="1:29" x14ac:dyDescent="0.3">
      <c r="A14" s="6"/>
      <c r="B14" s="6"/>
      <c r="C14" s="6"/>
      <c r="D14" s="7"/>
      <c r="E14" s="7"/>
      <c r="F14" s="7"/>
      <c r="G14" s="7"/>
      <c r="H14" s="7"/>
      <c r="I14" s="7"/>
      <c r="J14" s="7"/>
      <c r="K14" s="7"/>
      <c r="L14" s="7"/>
      <c r="M14" s="7"/>
      <c r="N14" s="7"/>
      <c r="O14" s="7"/>
      <c r="P14" s="7"/>
      <c r="Q14" s="7"/>
      <c r="R14" s="7"/>
      <c r="S14" s="7"/>
      <c r="T14" s="7"/>
      <c r="U14" s="7"/>
      <c r="V14" s="7"/>
      <c r="W14" s="7"/>
      <c r="X14" s="7"/>
      <c r="Y14" s="7"/>
      <c r="Z14" s="7"/>
      <c r="AA14" s="7"/>
      <c r="AB14" s="7"/>
      <c r="AC14" s="7"/>
    </row>
    <row r="15" spans="1:29" x14ac:dyDescent="0.3">
      <c r="A15" s="6"/>
      <c r="B15" s="6"/>
      <c r="C15" s="6"/>
      <c r="D15" s="7"/>
      <c r="E15" s="7"/>
      <c r="F15" s="7"/>
      <c r="G15" s="7"/>
      <c r="H15" s="7"/>
      <c r="I15" s="7"/>
      <c r="J15" s="7"/>
      <c r="K15" s="7"/>
      <c r="L15" s="7"/>
      <c r="M15" s="7"/>
      <c r="N15" s="7"/>
      <c r="O15" s="7"/>
      <c r="P15" s="7"/>
      <c r="Q15" s="7"/>
      <c r="R15" s="7"/>
      <c r="S15" s="7"/>
      <c r="T15" s="7"/>
      <c r="U15" s="7"/>
      <c r="V15" s="7"/>
      <c r="W15" s="7"/>
      <c r="X15" s="7"/>
      <c r="Y15" s="7"/>
      <c r="Z15" s="7"/>
      <c r="AA15" s="7"/>
      <c r="AB15" s="7"/>
      <c r="AC15" s="7"/>
    </row>
    <row r="16" spans="1:29" x14ac:dyDescent="0.3">
      <c r="A16" s="6"/>
      <c r="B16" s="6"/>
      <c r="C16" s="6"/>
      <c r="D16" s="7"/>
      <c r="E16" s="7"/>
      <c r="F16" s="7"/>
      <c r="G16" s="7"/>
      <c r="H16" s="7"/>
      <c r="I16" s="7"/>
      <c r="J16" s="7"/>
      <c r="K16" s="7"/>
      <c r="L16" s="7"/>
      <c r="M16" s="7"/>
      <c r="N16" s="7"/>
      <c r="O16" s="7"/>
      <c r="P16" s="7"/>
      <c r="Q16" s="7"/>
      <c r="R16" s="7"/>
      <c r="S16" s="7"/>
      <c r="T16" s="7"/>
      <c r="U16" s="7"/>
      <c r="V16" s="7"/>
      <c r="W16" s="7"/>
      <c r="X16" s="7"/>
      <c r="Y16" s="7"/>
      <c r="Z16" s="7"/>
      <c r="AA16" s="7"/>
      <c r="AB16" s="7"/>
      <c r="AC16" s="7"/>
    </row>
    <row r="17" spans="1:29" x14ac:dyDescent="0.3">
      <c r="A17" s="6"/>
      <c r="B17" s="6"/>
      <c r="C17" s="6"/>
      <c r="D17" s="7"/>
      <c r="E17" s="7"/>
      <c r="F17" s="7"/>
      <c r="G17" s="7"/>
      <c r="H17" s="7"/>
      <c r="I17" s="7"/>
      <c r="J17" s="7"/>
      <c r="K17" s="7"/>
      <c r="L17" s="7"/>
      <c r="M17" s="7"/>
      <c r="N17" s="7"/>
      <c r="O17" s="7"/>
      <c r="P17" s="7"/>
      <c r="Q17" s="7"/>
      <c r="R17" s="7"/>
      <c r="S17" s="7"/>
      <c r="T17" s="7"/>
      <c r="U17" s="7"/>
      <c r="V17" s="7"/>
      <c r="W17" s="7"/>
      <c r="X17" s="7"/>
      <c r="Y17" s="7"/>
      <c r="Z17" s="7"/>
      <c r="AA17" s="7"/>
      <c r="AB17" s="7"/>
      <c r="AC17" s="7"/>
    </row>
    <row r="18" spans="1:29" x14ac:dyDescent="0.3">
      <c r="A18" s="6"/>
      <c r="B18" s="6"/>
      <c r="C18" s="6"/>
      <c r="D18" s="7"/>
      <c r="E18" s="7"/>
      <c r="F18" s="7"/>
      <c r="G18" s="7"/>
      <c r="H18" s="7"/>
      <c r="I18" s="7"/>
      <c r="J18" s="7"/>
      <c r="K18" s="7"/>
      <c r="L18" s="7"/>
      <c r="M18" s="7"/>
      <c r="N18" s="7"/>
      <c r="O18" s="7"/>
      <c r="P18" s="7"/>
      <c r="Q18" s="7"/>
      <c r="R18" s="7"/>
      <c r="S18" s="7"/>
      <c r="T18" s="7"/>
      <c r="U18" s="7"/>
      <c r="V18" s="7"/>
      <c r="W18" s="7"/>
      <c r="X18" s="7"/>
      <c r="Y18" s="7"/>
      <c r="Z18" s="7"/>
      <c r="AA18" s="7"/>
      <c r="AB18" s="7"/>
      <c r="AC18" s="7"/>
    </row>
    <row r="19" spans="1:29" x14ac:dyDescent="0.3">
      <c r="A19" s="6"/>
      <c r="B19" s="6"/>
      <c r="C19" s="6"/>
      <c r="D19" s="7"/>
      <c r="E19" s="7"/>
      <c r="F19" s="7"/>
      <c r="G19" s="7"/>
      <c r="H19" s="7"/>
      <c r="I19" s="7"/>
      <c r="J19" s="7"/>
      <c r="K19" s="7"/>
      <c r="L19" s="7"/>
      <c r="M19" s="7"/>
      <c r="N19" s="7"/>
      <c r="O19" s="7"/>
      <c r="P19" s="7"/>
      <c r="Q19" s="7"/>
      <c r="R19" s="7"/>
      <c r="S19" s="7"/>
      <c r="T19" s="7"/>
      <c r="U19" s="7"/>
      <c r="V19" s="7"/>
      <c r="W19" s="7"/>
      <c r="X19" s="7"/>
      <c r="Y19" s="7"/>
      <c r="Z19" s="7"/>
      <c r="AA19" s="7"/>
      <c r="AB19" s="7"/>
      <c r="AC19" s="7"/>
    </row>
    <row r="20" spans="1:29" x14ac:dyDescent="0.3">
      <c r="A20" s="6"/>
      <c r="B20" s="6"/>
      <c r="C20" s="6"/>
      <c r="D20" s="7"/>
      <c r="E20" s="7"/>
      <c r="F20" s="7"/>
      <c r="G20" s="7"/>
      <c r="H20" s="7"/>
      <c r="I20" s="7"/>
      <c r="J20" s="7"/>
      <c r="K20" s="7"/>
      <c r="L20" s="7"/>
      <c r="M20" s="7"/>
      <c r="N20" s="7"/>
      <c r="O20" s="7"/>
      <c r="P20" s="7"/>
      <c r="Q20" s="7"/>
      <c r="R20" s="7"/>
      <c r="S20" s="7"/>
      <c r="T20" s="7"/>
      <c r="U20" s="7"/>
      <c r="V20" s="7"/>
      <c r="W20" s="7"/>
      <c r="X20" s="7"/>
      <c r="Y20" s="7"/>
      <c r="Z20" s="7"/>
      <c r="AA20" s="7"/>
      <c r="AB20" s="7"/>
      <c r="AC20" s="7"/>
    </row>
    <row r="21" spans="1:29" x14ac:dyDescent="0.3">
      <c r="A21" s="6"/>
      <c r="B21" s="6"/>
      <c r="C21" s="6"/>
      <c r="D21" s="7"/>
      <c r="E21" s="7"/>
      <c r="F21" s="7"/>
      <c r="G21" s="7"/>
      <c r="H21" s="7"/>
      <c r="I21" s="7"/>
      <c r="J21" s="7"/>
      <c r="K21" s="7"/>
      <c r="L21" s="7"/>
      <c r="M21" s="7"/>
      <c r="N21" s="7"/>
      <c r="O21" s="7"/>
      <c r="P21" s="7"/>
      <c r="Q21" s="7"/>
      <c r="R21" s="7"/>
      <c r="S21" s="7"/>
      <c r="T21" s="7"/>
      <c r="U21" s="7"/>
      <c r="V21" s="7"/>
      <c r="W21" s="7"/>
      <c r="X21" s="7"/>
      <c r="Y21" s="7"/>
      <c r="Z21" s="7"/>
      <c r="AA21" s="7"/>
      <c r="AB21" s="7"/>
      <c r="AC21" s="7"/>
    </row>
    <row r="22" spans="1:29" x14ac:dyDescent="0.3">
      <c r="A22" s="6"/>
      <c r="B22" s="6"/>
      <c r="C22" s="6"/>
      <c r="D22" s="7"/>
      <c r="E22" s="7"/>
      <c r="F22" s="7"/>
      <c r="G22" s="7"/>
      <c r="H22" s="7"/>
      <c r="I22" s="7"/>
      <c r="J22" s="7"/>
      <c r="K22" s="7"/>
      <c r="L22" s="7"/>
      <c r="M22" s="7"/>
      <c r="N22" s="7"/>
      <c r="O22" s="7"/>
      <c r="P22" s="7"/>
      <c r="Q22" s="7"/>
      <c r="R22" s="7"/>
      <c r="S22" s="7"/>
      <c r="T22" s="7"/>
      <c r="U22" s="7"/>
      <c r="V22" s="7"/>
      <c r="W22" s="7"/>
      <c r="X22" s="7"/>
      <c r="Y22" s="7"/>
      <c r="Z22" s="7"/>
      <c r="AA22" s="7"/>
      <c r="AB22" s="7"/>
      <c r="AC22" s="7"/>
    </row>
    <row r="23" spans="1:29" x14ac:dyDescent="0.3">
      <c r="A23" s="6"/>
      <c r="B23" s="6"/>
      <c r="C23" s="6"/>
      <c r="D23" s="7"/>
      <c r="E23" s="7"/>
      <c r="F23" s="7"/>
      <c r="G23" s="7"/>
      <c r="H23" s="7"/>
      <c r="I23" s="7"/>
      <c r="J23" s="7"/>
      <c r="K23" s="7"/>
      <c r="L23" s="7"/>
      <c r="M23" s="7"/>
      <c r="N23" s="7"/>
      <c r="O23" s="7"/>
      <c r="P23" s="7"/>
      <c r="Q23" s="7"/>
      <c r="R23" s="7"/>
      <c r="S23" s="7"/>
      <c r="T23" s="7"/>
      <c r="U23" s="7"/>
      <c r="V23" s="7"/>
      <c r="W23" s="7"/>
      <c r="X23" s="7"/>
      <c r="Y23" s="7"/>
      <c r="Z23" s="7"/>
      <c r="AA23" s="7"/>
      <c r="AB23" s="7"/>
      <c r="AC23" s="7"/>
    </row>
    <row r="24" spans="1:29" x14ac:dyDescent="0.3">
      <c r="A24" s="6"/>
      <c r="B24" s="6"/>
      <c r="C24" s="6"/>
      <c r="D24" s="7"/>
      <c r="E24" s="7"/>
      <c r="F24" s="7"/>
      <c r="G24" s="7"/>
      <c r="H24" s="7"/>
      <c r="I24" s="7"/>
      <c r="J24" s="7"/>
      <c r="K24" s="7"/>
      <c r="L24" s="7"/>
      <c r="M24" s="7"/>
      <c r="N24" s="7"/>
      <c r="O24" s="7"/>
      <c r="P24" s="7"/>
      <c r="Q24" s="7"/>
      <c r="R24" s="7"/>
      <c r="S24" s="7"/>
      <c r="T24" s="7"/>
      <c r="U24" s="7"/>
      <c r="V24" s="7"/>
      <c r="W24" s="7"/>
      <c r="X24" s="7"/>
      <c r="Y24" s="7"/>
      <c r="Z24" s="7"/>
      <c r="AA24" s="7"/>
      <c r="AB24" s="7"/>
      <c r="AC24" s="7"/>
    </row>
    <row r="25" spans="1:29" x14ac:dyDescent="0.3">
      <c r="A25" s="6"/>
      <c r="B25" s="6"/>
      <c r="C25" s="6"/>
      <c r="D25" s="7"/>
      <c r="E25" s="7"/>
      <c r="F25" s="7"/>
      <c r="G25" s="7"/>
      <c r="H25" s="7"/>
      <c r="I25" s="7"/>
      <c r="J25" s="7"/>
      <c r="K25" s="7"/>
      <c r="L25" s="7"/>
      <c r="M25" s="7"/>
      <c r="N25" s="7"/>
      <c r="O25" s="7"/>
      <c r="P25" s="7"/>
      <c r="Q25" s="7"/>
      <c r="R25" s="7"/>
      <c r="S25" s="7"/>
      <c r="T25" s="7"/>
      <c r="U25" s="7"/>
      <c r="V25" s="7"/>
      <c r="W25" s="7"/>
      <c r="X25" s="7"/>
      <c r="Y25" s="7"/>
      <c r="Z25" s="7"/>
      <c r="AA25" s="7"/>
      <c r="AB25" s="7"/>
      <c r="AC25" s="7"/>
    </row>
    <row r="26" spans="1:29" x14ac:dyDescent="0.3">
      <c r="A26" s="6"/>
      <c r="B26" s="6"/>
      <c r="C26" s="6"/>
      <c r="D26" s="7"/>
      <c r="E26" s="7"/>
      <c r="F26" s="7"/>
      <c r="G26" s="7"/>
      <c r="H26" s="7"/>
      <c r="I26" s="7"/>
      <c r="J26" s="7"/>
      <c r="K26" s="7"/>
      <c r="L26" s="7"/>
      <c r="M26" s="7"/>
      <c r="N26" s="7"/>
      <c r="O26" s="7"/>
      <c r="P26" s="7"/>
      <c r="Q26" s="7"/>
      <c r="R26" s="7"/>
      <c r="S26" s="7"/>
      <c r="T26" s="7"/>
      <c r="U26" s="7"/>
      <c r="V26" s="7"/>
      <c r="W26" s="7"/>
      <c r="X26" s="7"/>
      <c r="Y26" s="7"/>
      <c r="Z26" s="7"/>
      <c r="AA26" s="7"/>
      <c r="AB26" s="7"/>
      <c r="AC26" s="7"/>
    </row>
    <row r="27" spans="1:29" x14ac:dyDescent="0.3">
      <c r="A27" s="6"/>
      <c r="B27" s="6"/>
      <c r="C27" s="6"/>
      <c r="D27" s="7"/>
      <c r="E27" s="7"/>
      <c r="F27" s="7"/>
      <c r="G27" s="7"/>
      <c r="H27" s="7"/>
      <c r="I27" s="7"/>
      <c r="J27" s="7"/>
      <c r="K27" s="7"/>
      <c r="L27" s="7"/>
      <c r="M27" s="7"/>
      <c r="N27" s="7"/>
      <c r="O27" s="7"/>
      <c r="P27" s="7"/>
      <c r="Q27" s="7"/>
      <c r="R27" s="7"/>
      <c r="S27" s="7"/>
      <c r="T27" s="7"/>
      <c r="U27" s="7"/>
      <c r="V27" s="7"/>
      <c r="W27" s="7"/>
      <c r="X27" s="7"/>
      <c r="Y27" s="7"/>
      <c r="Z27" s="7"/>
      <c r="AA27" s="7"/>
      <c r="AB27" s="7"/>
      <c r="AC27" s="7"/>
    </row>
    <row r="28" spans="1:29" x14ac:dyDescent="0.3">
      <c r="A28" s="6"/>
      <c r="B28" s="6"/>
      <c r="C28" s="6"/>
      <c r="D28" s="7"/>
      <c r="E28" s="7"/>
      <c r="F28" s="7"/>
      <c r="G28" s="7"/>
      <c r="H28" s="7"/>
      <c r="I28" s="7"/>
      <c r="J28" s="7"/>
      <c r="K28" s="7"/>
      <c r="L28" s="7"/>
      <c r="M28" s="7"/>
      <c r="N28" s="7"/>
      <c r="O28" s="7"/>
      <c r="P28" s="7"/>
      <c r="Q28" s="7"/>
      <c r="R28" s="7"/>
      <c r="S28" s="7"/>
      <c r="T28" s="7"/>
      <c r="U28" s="7"/>
      <c r="V28" s="7"/>
      <c r="W28" s="7"/>
      <c r="X28" s="7"/>
      <c r="Y28" s="7"/>
      <c r="Z28" s="7"/>
      <c r="AA28" s="7"/>
      <c r="AB28" s="7"/>
      <c r="AC28" s="7"/>
    </row>
    <row r="29" spans="1:29" x14ac:dyDescent="0.3">
      <c r="A29" s="6"/>
      <c r="B29" s="6"/>
      <c r="C29" s="6"/>
      <c r="D29" s="7"/>
      <c r="E29" s="7"/>
      <c r="F29" s="7"/>
      <c r="G29" s="7"/>
      <c r="H29" s="7"/>
      <c r="I29" s="7"/>
      <c r="J29" s="7"/>
      <c r="K29" s="7"/>
      <c r="L29" s="7"/>
      <c r="M29" s="7"/>
      <c r="N29" s="7"/>
      <c r="O29" s="7"/>
      <c r="P29" s="7"/>
      <c r="Q29" s="7"/>
      <c r="R29" s="7"/>
      <c r="S29" s="7"/>
      <c r="T29" s="7"/>
      <c r="U29" s="7"/>
      <c r="V29" s="7"/>
      <c r="W29" s="7"/>
      <c r="X29" s="7"/>
      <c r="Y29" s="7"/>
      <c r="Z29" s="7"/>
      <c r="AA29" s="7"/>
      <c r="AB29" s="7"/>
      <c r="AC29" s="7"/>
    </row>
    <row r="30" spans="1:29" x14ac:dyDescent="0.3">
      <c r="A30" s="6"/>
      <c r="B30" s="6"/>
      <c r="C30" s="6"/>
      <c r="D30" s="7"/>
      <c r="E30" s="7"/>
      <c r="F30" s="7"/>
      <c r="G30" s="7"/>
      <c r="H30" s="7"/>
      <c r="I30" s="7"/>
      <c r="J30" s="7"/>
      <c r="K30" s="7"/>
      <c r="L30" s="7"/>
      <c r="M30" s="7"/>
      <c r="N30" s="7"/>
      <c r="O30" s="7"/>
      <c r="P30" s="7"/>
      <c r="Q30" s="7"/>
      <c r="R30" s="7"/>
      <c r="S30" s="7"/>
      <c r="T30" s="7"/>
      <c r="U30" s="7"/>
      <c r="V30" s="7"/>
      <c r="W30" s="7"/>
      <c r="X30" s="7"/>
      <c r="Y30" s="7"/>
      <c r="Z30" s="7"/>
      <c r="AA30" s="7"/>
      <c r="AB30" s="7"/>
      <c r="AC30" s="7"/>
    </row>
    <row r="31" spans="1:29" x14ac:dyDescent="0.3">
      <c r="A31" s="6"/>
      <c r="B31" s="6"/>
      <c r="C31" s="6"/>
      <c r="D31" s="7"/>
      <c r="E31" s="7"/>
      <c r="F31" s="7"/>
      <c r="G31" s="7"/>
      <c r="H31" s="7"/>
      <c r="I31" s="7"/>
      <c r="J31" s="7"/>
      <c r="K31" s="7"/>
      <c r="L31" s="7"/>
      <c r="M31" s="7"/>
      <c r="N31" s="7"/>
      <c r="O31" s="7"/>
      <c r="P31" s="7"/>
      <c r="Q31" s="7"/>
      <c r="R31" s="7"/>
      <c r="S31" s="7"/>
      <c r="T31" s="7"/>
      <c r="U31" s="7"/>
      <c r="V31" s="7"/>
      <c r="W31" s="7"/>
      <c r="X31" s="7"/>
      <c r="Y31" s="7"/>
      <c r="Z31" s="7"/>
      <c r="AA31" s="7"/>
      <c r="AB31" s="7"/>
      <c r="AC31" s="7"/>
    </row>
    <row r="32" spans="1:29" x14ac:dyDescent="0.3">
      <c r="A32" s="6"/>
      <c r="B32" s="6"/>
      <c r="C32" s="6"/>
      <c r="D32" s="7"/>
      <c r="E32" s="7"/>
      <c r="F32" s="7"/>
      <c r="G32" s="7"/>
      <c r="H32" s="7"/>
      <c r="I32" s="7"/>
      <c r="J32" s="7"/>
      <c r="K32" s="7"/>
      <c r="L32" s="7"/>
      <c r="M32" s="7"/>
      <c r="N32" s="7"/>
      <c r="O32" s="7"/>
      <c r="P32" s="7"/>
      <c r="Q32" s="7"/>
      <c r="R32" s="7"/>
      <c r="S32" s="7"/>
      <c r="T32" s="7"/>
      <c r="U32" s="7"/>
      <c r="V32" s="7"/>
      <c r="W32" s="7"/>
      <c r="X32" s="7"/>
    </row>
    <row r="33" spans="1:24" x14ac:dyDescent="0.3">
      <c r="A33" s="6"/>
      <c r="B33" s="6"/>
      <c r="C33" s="6"/>
      <c r="D33" s="7"/>
      <c r="E33" s="7"/>
      <c r="F33" s="7"/>
      <c r="G33" s="7"/>
      <c r="H33" s="7"/>
      <c r="I33" s="7"/>
      <c r="J33" s="7"/>
      <c r="K33" s="7"/>
      <c r="L33" s="7"/>
      <c r="M33" s="7"/>
      <c r="N33" s="7"/>
      <c r="O33" s="7"/>
      <c r="P33" s="7"/>
      <c r="Q33" s="7"/>
      <c r="R33" s="7"/>
      <c r="S33" s="7"/>
      <c r="T33" s="7"/>
      <c r="U33" s="7"/>
      <c r="V33" s="7"/>
      <c r="W33" s="7"/>
      <c r="X33" s="7"/>
    </row>
    <row r="34" spans="1:24" x14ac:dyDescent="0.3">
      <c r="A34" s="6"/>
      <c r="B34" s="6"/>
      <c r="C34" s="6"/>
      <c r="D34" s="7"/>
      <c r="E34" s="7"/>
      <c r="F34" s="7"/>
      <c r="G34" s="7"/>
      <c r="H34" s="7"/>
      <c r="I34" s="7"/>
      <c r="J34" s="7"/>
      <c r="K34" s="7"/>
      <c r="L34" s="7"/>
      <c r="M34" s="7"/>
      <c r="N34" s="7"/>
      <c r="O34" s="7"/>
      <c r="P34" s="7"/>
      <c r="Q34" s="7"/>
      <c r="R34" s="7"/>
      <c r="S34" s="7"/>
      <c r="T34" s="7"/>
      <c r="U34" s="7"/>
      <c r="V34" s="7"/>
      <c r="W34" s="7"/>
      <c r="X34" s="7"/>
    </row>
    <row r="35" spans="1:24" x14ac:dyDescent="0.3">
      <c r="A35" s="6"/>
      <c r="B35" s="6"/>
      <c r="C35" s="6"/>
      <c r="D35" s="7"/>
      <c r="E35" s="7"/>
      <c r="F35" s="7"/>
      <c r="G35" s="7"/>
      <c r="H35" s="7"/>
      <c r="I35" s="7"/>
      <c r="J35" s="7"/>
      <c r="K35" s="7"/>
      <c r="L35" s="7"/>
      <c r="M35" s="7"/>
      <c r="N35" s="7"/>
      <c r="O35" s="7"/>
      <c r="P35" s="7"/>
      <c r="Q35" s="7"/>
      <c r="R35" s="7"/>
      <c r="S35" s="7"/>
      <c r="T35" s="7"/>
      <c r="U35" s="7"/>
      <c r="V35" s="7"/>
      <c r="W35" s="7"/>
      <c r="X35" s="7"/>
    </row>
    <row r="36" spans="1:24" x14ac:dyDescent="0.3">
      <c r="A36" s="6"/>
      <c r="B36" s="6"/>
      <c r="C36" s="6"/>
      <c r="D36" s="7"/>
      <c r="E36" s="7"/>
      <c r="F36" s="7"/>
      <c r="G36" s="7"/>
      <c r="H36" s="7"/>
      <c r="I36" s="7"/>
      <c r="J36" s="7"/>
      <c r="K36" s="7"/>
      <c r="L36" s="7"/>
      <c r="M36" s="7"/>
      <c r="N36" s="7"/>
      <c r="O36" s="7"/>
      <c r="P36" s="7"/>
      <c r="Q36" s="7"/>
      <c r="R36" s="7"/>
      <c r="S36" s="7"/>
      <c r="T36" s="7"/>
      <c r="U36" s="7"/>
      <c r="V36" s="7"/>
      <c r="W36" s="7"/>
      <c r="X36" s="7"/>
    </row>
    <row r="37" spans="1:24" x14ac:dyDescent="0.3">
      <c r="A37" s="6"/>
      <c r="B37" s="6"/>
      <c r="C37" s="6"/>
      <c r="D37" s="7"/>
      <c r="E37" s="7"/>
      <c r="F37" s="7"/>
      <c r="G37" s="7"/>
      <c r="H37" s="7"/>
      <c r="I37" s="7"/>
      <c r="J37" s="7"/>
      <c r="K37" s="7"/>
      <c r="L37" s="7"/>
      <c r="M37" s="7"/>
      <c r="N37" s="7"/>
      <c r="O37" s="7"/>
      <c r="P37" s="7"/>
      <c r="Q37" s="7"/>
      <c r="R37" s="7"/>
      <c r="S37" s="7"/>
      <c r="T37" s="7"/>
      <c r="U37" s="7"/>
      <c r="V37" s="7"/>
      <c r="W37" s="7"/>
      <c r="X37" s="7"/>
    </row>
    <row r="38" spans="1:24" x14ac:dyDescent="0.3">
      <c r="A38" s="6"/>
      <c r="B38" s="6"/>
      <c r="C38" s="6"/>
      <c r="D38" s="7"/>
      <c r="E38" s="7"/>
      <c r="F38" s="7"/>
      <c r="G38" s="7"/>
      <c r="H38" s="7"/>
      <c r="I38" s="7"/>
      <c r="J38" s="7"/>
      <c r="K38" s="7"/>
      <c r="L38" s="7"/>
      <c r="M38" s="7"/>
      <c r="N38" s="7"/>
      <c r="O38" s="7"/>
      <c r="P38" s="7"/>
      <c r="Q38" s="7"/>
      <c r="R38" s="7"/>
      <c r="S38" s="7"/>
      <c r="T38" s="7"/>
      <c r="U38" s="7"/>
      <c r="V38" s="7"/>
      <c r="W38" s="7"/>
      <c r="X38" s="7"/>
    </row>
    <row r="39" spans="1:24" x14ac:dyDescent="0.3">
      <c r="A39" s="6"/>
      <c r="B39" s="6"/>
      <c r="C39" s="6"/>
      <c r="D39" s="7"/>
      <c r="E39" s="7"/>
      <c r="F39" s="7"/>
      <c r="G39" s="7"/>
      <c r="H39" s="7"/>
      <c r="I39" s="7"/>
      <c r="J39" s="7"/>
      <c r="K39" s="7"/>
      <c r="L39" s="7"/>
      <c r="M39" s="7"/>
      <c r="N39" s="7"/>
      <c r="O39" s="7"/>
      <c r="P39" s="7"/>
      <c r="Q39" s="7"/>
      <c r="R39" s="7"/>
      <c r="S39" s="7"/>
      <c r="T39" s="7"/>
      <c r="U39" s="7"/>
      <c r="V39" s="7"/>
      <c r="W39" s="7"/>
      <c r="X39" s="7"/>
    </row>
    <row r="40" spans="1:24" x14ac:dyDescent="0.3">
      <c r="A40" s="6"/>
      <c r="B40" s="6"/>
      <c r="C40" s="6"/>
      <c r="D40" s="7"/>
      <c r="E40" s="7"/>
      <c r="F40" s="7"/>
      <c r="G40" s="7"/>
      <c r="H40" s="7"/>
      <c r="I40" s="7"/>
      <c r="J40" s="7"/>
      <c r="K40" s="7"/>
      <c r="L40" s="7"/>
      <c r="M40" s="7"/>
      <c r="N40" s="7"/>
      <c r="O40" s="7"/>
      <c r="P40" s="7"/>
      <c r="Q40" s="7"/>
      <c r="R40" s="7"/>
      <c r="S40" s="7"/>
      <c r="T40" s="7"/>
      <c r="U40" s="7"/>
      <c r="V40" s="7"/>
      <c r="W40" s="7"/>
      <c r="X40" s="7"/>
    </row>
    <row r="41" spans="1:24" x14ac:dyDescent="0.3">
      <c r="A41" s="6"/>
      <c r="B41" s="6"/>
      <c r="C41" s="6"/>
      <c r="D41" s="7"/>
      <c r="E41" s="7"/>
      <c r="F41" s="7"/>
      <c r="G41" s="7"/>
      <c r="H41" s="7"/>
      <c r="I41" s="7"/>
      <c r="J41" s="7"/>
      <c r="K41" s="7"/>
      <c r="L41" s="7"/>
      <c r="M41" s="7"/>
      <c r="N41" s="7"/>
      <c r="O41" s="7"/>
      <c r="P41" s="7"/>
      <c r="Q41" s="7"/>
      <c r="R41" s="7"/>
      <c r="S41" s="7"/>
      <c r="T41" s="7"/>
      <c r="U41" s="7"/>
      <c r="V41" s="7"/>
      <c r="W41" s="7"/>
      <c r="X41" s="7"/>
    </row>
  </sheetData>
  <mergeCells count="1">
    <mergeCell ref="D1: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77341-B052-4A61-B540-8CF704CCD526}">
  <dimension ref="A1:X28"/>
  <sheetViews>
    <sheetView zoomScale="99" workbookViewId="0">
      <selection activeCell="H25" sqref="H25"/>
    </sheetView>
  </sheetViews>
  <sheetFormatPr defaultRowHeight="14.4" x14ac:dyDescent="0.3"/>
  <cols>
    <col min="5" max="5" width="13.109375" customWidth="1"/>
    <col min="6" max="6" width="12.109375" bestFit="1" customWidth="1"/>
    <col min="7" max="7" width="14.33203125" bestFit="1" customWidth="1"/>
    <col min="8" max="8" width="17" bestFit="1" customWidth="1"/>
  </cols>
  <sheetData>
    <row r="1" spans="1:24" ht="14.4" customHeight="1" x14ac:dyDescent="0.3">
      <c r="A1" s="6"/>
      <c r="B1" s="6"/>
      <c r="C1" s="6"/>
      <c r="D1" s="36" t="s">
        <v>1052</v>
      </c>
      <c r="E1" s="37"/>
      <c r="F1" s="37"/>
      <c r="G1" s="37"/>
      <c r="H1" s="37"/>
      <c r="I1" s="37"/>
      <c r="J1" s="37"/>
      <c r="K1" s="37"/>
      <c r="L1" s="37"/>
      <c r="M1" s="37"/>
      <c r="N1" s="37"/>
      <c r="O1" s="37"/>
      <c r="P1" s="37"/>
      <c r="Q1" s="37"/>
      <c r="R1" s="37"/>
      <c r="S1" s="37"/>
      <c r="T1" s="37"/>
      <c r="U1" s="5"/>
      <c r="V1" s="5"/>
      <c r="W1" s="5"/>
      <c r="X1" s="5"/>
    </row>
    <row r="2" spans="1:24" ht="14.4" customHeight="1" x14ac:dyDescent="0.3">
      <c r="A2" s="6"/>
      <c r="B2" s="6"/>
      <c r="C2" s="6"/>
      <c r="D2" s="37"/>
      <c r="E2" s="37"/>
      <c r="F2" s="37"/>
      <c r="G2" s="37"/>
      <c r="H2" s="37"/>
      <c r="I2" s="37"/>
      <c r="J2" s="37"/>
      <c r="K2" s="37"/>
      <c r="L2" s="37"/>
      <c r="M2" s="37"/>
      <c r="N2" s="37"/>
      <c r="O2" s="37"/>
      <c r="P2" s="37"/>
      <c r="Q2" s="37"/>
      <c r="R2" s="37"/>
      <c r="S2" s="37"/>
      <c r="T2" s="37"/>
      <c r="U2" s="5"/>
      <c r="V2" s="5"/>
      <c r="W2" s="5"/>
      <c r="X2" s="5"/>
    </row>
    <row r="3" spans="1:24" ht="14.4" customHeight="1" x14ac:dyDescent="0.3">
      <c r="A3" s="6"/>
      <c r="B3" s="6"/>
      <c r="C3" s="6"/>
      <c r="D3" s="37"/>
      <c r="E3" s="37"/>
      <c r="F3" s="37"/>
      <c r="G3" s="37"/>
      <c r="H3" s="37"/>
      <c r="I3" s="37"/>
      <c r="J3" s="37"/>
      <c r="K3" s="37"/>
      <c r="L3" s="37"/>
      <c r="M3" s="37"/>
      <c r="N3" s="37"/>
      <c r="O3" s="37"/>
      <c r="P3" s="37"/>
      <c r="Q3" s="37"/>
      <c r="R3" s="37"/>
      <c r="S3" s="37"/>
      <c r="T3" s="37"/>
      <c r="U3" s="5"/>
      <c r="V3" s="5"/>
      <c r="W3" s="5"/>
      <c r="X3" s="5"/>
    </row>
    <row r="4" spans="1:24" ht="14.4" customHeight="1" x14ac:dyDescent="0.3">
      <c r="A4" s="6"/>
      <c r="B4" s="6"/>
      <c r="C4" s="6"/>
      <c r="D4" s="9"/>
      <c r="E4" s="9"/>
      <c r="F4" s="9"/>
      <c r="G4" s="9"/>
      <c r="H4" s="9"/>
      <c r="I4" s="9"/>
      <c r="J4" s="9"/>
      <c r="K4" s="9"/>
      <c r="L4" s="9"/>
      <c r="M4" s="9"/>
      <c r="N4" s="9"/>
      <c r="O4" s="9"/>
      <c r="P4" s="9"/>
      <c r="Q4" s="9"/>
      <c r="R4" s="9"/>
      <c r="S4" s="9"/>
      <c r="T4" s="9"/>
      <c r="U4" s="7"/>
      <c r="V4" s="7"/>
      <c r="W4" s="7"/>
      <c r="X4" s="7"/>
    </row>
    <row r="5" spans="1:24" x14ac:dyDescent="0.3">
      <c r="A5" s="6"/>
      <c r="B5" s="6"/>
      <c r="C5" s="6"/>
      <c r="D5" s="7"/>
      <c r="E5" s="21" t="s">
        <v>1</v>
      </c>
      <c r="F5" s="22" t="s">
        <v>1046</v>
      </c>
      <c r="G5" s="22" t="s">
        <v>1050</v>
      </c>
      <c r="H5" s="22" t="s">
        <v>1041</v>
      </c>
      <c r="I5" s="7"/>
      <c r="J5" s="5"/>
      <c r="K5" s="5"/>
      <c r="L5" s="5"/>
      <c r="M5" s="5"/>
      <c r="N5" s="5"/>
      <c r="O5" s="5"/>
      <c r="P5" s="5"/>
      <c r="Q5" s="5"/>
      <c r="R5" s="5"/>
      <c r="S5" s="5"/>
      <c r="T5" s="7"/>
      <c r="U5" s="7"/>
      <c r="V5" s="7"/>
      <c r="W5" s="7"/>
      <c r="X5" s="7"/>
    </row>
    <row r="6" spans="1:24" ht="14.4" customHeight="1" x14ac:dyDescent="0.3">
      <c r="A6" s="6"/>
      <c r="B6" s="6"/>
      <c r="C6" s="6"/>
      <c r="D6" s="7"/>
      <c r="E6" s="18" t="s">
        <v>18</v>
      </c>
      <c r="F6" s="30">
        <v>106200.37050000011</v>
      </c>
      <c r="G6" s="30">
        <v>1859</v>
      </c>
      <c r="H6" s="30">
        <v>7.0270588235294129</v>
      </c>
      <c r="I6" s="7" t="s">
        <v>1051</v>
      </c>
      <c r="J6" s="5"/>
      <c r="K6" s="5"/>
      <c r="L6" s="5"/>
      <c r="M6" s="5"/>
      <c r="N6" s="5"/>
      <c r="O6" s="5"/>
      <c r="P6" s="5"/>
      <c r="Q6" s="5"/>
      <c r="R6" s="5"/>
      <c r="S6" s="5"/>
      <c r="T6" s="7"/>
      <c r="U6" s="7"/>
      <c r="V6" s="7"/>
      <c r="W6" s="7"/>
      <c r="X6" s="7"/>
    </row>
    <row r="7" spans="1:24" x14ac:dyDescent="0.3">
      <c r="A7" s="6"/>
      <c r="B7" s="6"/>
      <c r="C7" s="6"/>
      <c r="D7" s="7"/>
      <c r="E7" s="18" t="s">
        <v>42</v>
      </c>
      <c r="F7" s="30">
        <v>106197.67199999996</v>
      </c>
      <c r="G7" s="30">
        <v>1820</v>
      </c>
      <c r="H7" s="30">
        <v>6.8180722891566266</v>
      </c>
      <c r="I7" s="7"/>
      <c r="J7" s="5"/>
      <c r="K7" s="5"/>
      <c r="L7" s="5"/>
      <c r="M7" s="5"/>
      <c r="N7" s="5"/>
      <c r="O7" s="5"/>
      <c r="P7" s="5"/>
      <c r="Q7" s="5"/>
      <c r="R7" s="5"/>
      <c r="S7" s="5"/>
      <c r="T7" s="7"/>
      <c r="U7" s="7"/>
      <c r="V7" s="7"/>
      <c r="W7" s="7"/>
      <c r="X7" s="7"/>
    </row>
    <row r="8" spans="1:24" x14ac:dyDescent="0.3">
      <c r="A8" s="6"/>
      <c r="B8" s="6"/>
      <c r="C8" s="6"/>
      <c r="D8" s="7"/>
      <c r="E8" s="18" t="s">
        <v>25</v>
      </c>
      <c r="F8" s="30">
        <v>110568.70649999994</v>
      </c>
      <c r="G8" s="30">
        <v>1831</v>
      </c>
      <c r="H8" s="30">
        <v>7.0728658536585378</v>
      </c>
      <c r="I8" s="7"/>
      <c r="J8" s="5"/>
      <c r="K8" s="5"/>
      <c r="L8" s="5"/>
      <c r="M8" s="5"/>
      <c r="N8" s="5"/>
      <c r="O8" s="5"/>
      <c r="P8" s="5"/>
      <c r="Q8" s="5"/>
      <c r="R8" s="5"/>
      <c r="S8" s="5"/>
      <c r="T8" s="7"/>
      <c r="U8" s="7"/>
      <c r="V8" s="7"/>
      <c r="W8" s="7"/>
      <c r="X8" s="7"/>
    </row>
    <row r="9" spans="1:24" x14ac:dyDescent="0.3">
      <c r="A9" s="6"/>
      <c r="B9" s="6"/>
      <c r="C9" s="6"/>
      <c r="D9" s="7"/>
      <c r="E9" s="19" t="s">
        <v>1037</v>
      </c>
      <c r="F9" s="20">
        <v>322966.74900000042</v>
      </c>
      <c r="G9" s="20">
        <v>5510</v>
      </c>
      <c r="H9" s="20">
        <v>6.9726999999999997</v>
      </c>
      <c r="I9" s="7"/>
      <c r="J9" s="5"/>
      <c r="K9" s="5"/>
      <c r="L9" s="5"/>
      <c r="M9" s="5"/>
      <c r="N9" s="5"/>
      <c r="O9" s="5"/>
      <c r="P9" s="5"/>
      <c r="Q9" s="5"/>
      <c r="R9" s="5"/>
      <c r="S9" s="5"/>
      <c r="T9" s="7"/>
      <c r="U9" s="7"/>
      <c r="V9" s="7"/>
      <c r="W9" s="7"/>
      <c r="X9" s="7"/>
    </row>
    <row r="10" spans="1:24" x14ac:dyDescent="0.3">
      <c r="A10" s="6"/>
      <c r="B10" s="6"/>
      <c r="C10" s="6"/>
      <c r="D10" s="7"/>
      <c r="E10" s="7"/>
      <c r="F10" s="7"/>
      <c r="G10" s="7"/>
      <c r="H10" s="7"/>
      <c r="I10" s="7"/>
      <c r="J10" s="7"/>
      <c r="K10" s="7"/>
      <c r="L10" s="7"/>
      <c r="M10" s="7"/>
      <c r="N10" s="7"/>
      <c r="O10" s="7"/>
      <c r="P10" s="7"/>
      <c r="Q10" s="7"/>
      <c r="R10" s="7"/>
      <c r="S10" s="7"/>
      <c r="T10" s="7"/>
      <c r="U10" s="7"/>
      <c r="V10" s="7"/>
      <c r="W10" s="7"/>
      <c r="X10" s="7"/>
    </row>
    <row r="11" spans="1:24" x14ac:dyDescent="0.3">
      <c r="A11" s="6"/>
      <c r="B11" s="6"/>
      <c r="C11" s="6"/>
      <c r="D11" s="7"/>
      <c r="E11" s="7"/>
      <c r="F11" s="7"/>
      <c r="G11" s="7"/>
      <c r="H11" s="7"/>
      <c r="I11" s="7"/>
      <c r="J11" s="7"/>
      <c r="K11" s="7"/>
      <c r="L11" s="7"/>
      <c r="M11" s="7"/>
      <c r="N11" s="7"/>
      <c r="O11" s="7"/>
      <c r="P11" s="7"/>
      <c r="Q11" s="7"/>
      <c r="R11" s="7"/>
      <c r="S11" s="7"/>
      <c r="T11" s="7"/>
      <c r="U11" s="7"/>
      <c r="V11" s="7"/>
      <c r="W11" s="7"/>
      <c r="X11" s="7"/>
    </row>
    <row r="12" spans="1:24" x14ac:dyDescent="0.3">
      <c r="A12" s="6"/>
      <c r="B12" s="6"/>
      <c r="C12" s="6"/>
      <c r="D12" s="7"/>
      <c r="E12" s="7"/>
      <c r="F12" s="7"/>
      <c r="G12" s="7"/>
      <c r="H12" s="7"/>
      <c r="I12" s="7"/>
      <c r="J12" s="7"/>
      <c r="K12" s="7"/>
      <c r="L12" s="7"/>
      <c r="M12" s="7"/>
      <c r="N12" s="7"/>
      <c r="O12" s="7"/>
      <c r="P12" s="7"/>
      <c r="Q12" s="7"/>
      <c r="R12" s="7"/>
      <c r="S12" s="7"/>
      <c r="T12" s="7"/>
      <c r="U12" s="7"/>
      <c r="V12" s="7"/>
      <c r="W12" s="7"/>
      <c r="X12" s="7"/>
    </row>
    <row r="13" spans="1:24" x14ac:dyDescent="0.3">
      <c r="A13" s="6"/>
      <c r="B13" s="6"/>
      <c r="C13" s="6"/>
      <c r="D13" s="7"/>
      <c r="E13" s="7"/>
      <c r="F13" s="7"/>
      <c r="G13" s="7"/>
      <c r="H13" s="7"/>
      <c r="I13" s="7"/>
      <c r="J13" s="7"/>
      <c r="K13" s="7"/>
      <c r="L13" s="7"/>
      <c r="M13" s="7"/>
      <c r="N13" s="7"/>
      <c r="O13" s="7"/>
      <c r="P13" s="7"/>
      <c r="Q13" s="7"/>
      <c r="R13" s="7"/>
      <c r="S13" s="7"/>
      <c r="T13" s="7"/>
      <c r="U13" s="7"/>
      <c r="V13" s="7"/>
      <c r="W13" s="7"/>
      <c r="X13" s="7"/>
    </row>
    <row r="14" spans="1:24" x14ac:dyDescent="0.3">
      <c r="A14" s="6"/>
      <c r="B14" s="6"/>
      <c r="C14" s="6"/>
      <c r="D14" s="7"/>
      <c r="E14" s="7"/>
      <c r="F14" s="7"/>
      <c r="G14" s="7"/>
      <c r="H14" s="7"/>
      <c r="I14" s="7"/>
      <c r="J14" s="7"/>
      <c r="K14" s="7"/>
      <c r="L14" s="7"/>
      <c r="M14" s="7"/>
      <c r="N14" s="7"/>
      <c r="O14" s="7"/>
      <c r="P14" s="7"/>
      <c r="Q14" s="7"/>
      <c r="R14" s="7"/>
      <c r="S14" s="7"/>
      <c r="T14" s="7"/>
      <c r="U14" s="7"/>
      <c r="V14" s="7"/>
      <c r="W14" s="7"/>
      <c r="X14" s="7"/>
    </row>
    <row r="15" spans="1:24" x14ac:dyDescent="0.3">
      <c r="A15" s="6"/>
      <c r="B15" s="6"/>
      <c r="C15" s="6"/>
      <c r="D15" s="7"/>
      <c r="E15" s="7"/>
      <c r="F15" s="7"/>
      <c r="G15" s="7"/>
      <c r="H15" s="7"/>
      <c r="I15" s="7"/>
      <c r="J15" s="7"/>
      <c r="K15" s="7"/>
      <c r="L15" s="7"/>
      <c r="M15" s="7"/>
      <c r="N15" s="7"/>
      <c r="O15" s="7"/>
      <c r="P15" s="7"/>
      <c r="Q15" s="7"/>
      <c r="R15" s="7"/>
      <c r="S15" s="7"/>
      <c r="T15" s="7"/>
      <c r="U15" s="7"/>
      <c r="V15" s="7"/>
      <c r="W15" s="7"/>
      <c r="X15" s="7"/>
    </row>
    <row r="16" spans="1:24" x14ac:dyDescent="0.3">
      <c r="A16" s="6"/>
      <c r="B16" s="6"/>
      <c r="C16" s="6"/>
      <c r="D16" s="7"/>
      <c r="E16" s="7"/>
      <c r="F16" s="7"/>
      <c r="G16" s="7"/>
      <c r="H16" s="7"/>
      <c r="I16" s="7"/>
      <c r="J16" s="7"/>
      <c r="K16" s="7"/>
      <c r="L16" s="7"/>
      <c r="M16" s="7"/>
      <c r="N16" s="7"/>
      <c r="O16" s="7"/>
      <c r="P16" s="7"/>
      <c r="Q16" s="7"/>
      <c r="R16" s="7"/>
      <c r="S16" s="7"/>
      <c r="T16" s="7"/>
      <c r="U16" s="7"/>
      <c r="V16" s="7"/>
      <c r="W16" s="7"/>
      <c r="X16" s="7"/>
    </row>
    <row r="17" spans="1:24" x14ac:dyDescent="0.3">
      <c r="A17" s="6"/>
      <c r="B17" s="6"/>
      <c r="C17" s="6"/>
      <c r="D17" s="7"/>
      <c r="E17" s="7"/>
      <c r="F17" s="7"/>
      <c r="G17" s="7"/>
      <c r="H17" s="7"/>
      <c r="I17" s="7"/>
      <c r="J17" s="7"/>
      <c r="K17" s="7"/>
      <c r="L17" s="7"/>
      <c r="M17" s="7"/>
      <c r="N17" s="7"/>
      <c r="O17" s="7"/>
      <c r="P17" s="7"/>
      <c r="Q17" s="7"/>
      <c r="R17" s="7"/>
      <c r="S17" s="7"/>
      <c r="T17" s="7"/>
      <c r="U17" s="7"/>
      <c r="V17" s="7"/>
      <c r="W17" s="7"/>
      <c r="X17" s="7"/>
    </row>
    <row r="18" spans="1:24" x14ac:dyDescent="0.3">
      <c r="A18" s="6"/>
      <c r="B18" s="6"/>
      <c r="C18" s="6"/>
      <c r="D18" s="7"/>
      <c r="E18" s="7"/>
      <c r="F18" s="7"/>
      <c r="G18" s="7"/>
      <c r="H18" s="7"/>
      <c r="I18" s="7"/>
      <c r="J18" s="7"/>
      <c r="K18" s="7"/>
      <c r="L18" s="7"/>
      <c r="M18" s="7"/>
      <c r="N18" s="7"/>
      <c r="O18" s="7"/>
      <c r="P18" s="7"/>
      <c r="Q18" s="7"/>
      <c r="R18" s="7"/>
      <c r="S18" s="7"/>
      <c r="T18" s="7"/>
      <c r="U18" s="7"/>
      <c r="V18" s="7"/>
      <c r="W18" s="7"/>
      <c r="X18" s="7"/>
    </row>
    <row r="19" spans="1:24" x14ac:dyDescent="0.3">
      <c r="A19" s="6"/>
      <c r="B19" s="6"/>
      <c r="C19" s="6"/>
      <c r="D19" s="7"/>
      <c r="E19" s="7"/>
      <c r="F19" s="7"/>
      <c r="G19" s="7"/>
      <c r="H19" s="7"/>
      <c r="I19" s="7"/>
      <c r="J19" s="7"/>
      <c r="K19" s="7"/>
      <c r="L19" s="7"/>
      <c r="M19" s="7"/>
      <c r="N19" s="7"/>
      <c r="O19" s="7"/>
      <c r="P19" s="7"/>
      <c r="Q19" s="7"/>
      <c r="R19" s="7"/>
      <c r="S19" s="7"/>
      <c r="T19" s="7"/>
      <c r="U19" s="7"/>
      <c r="V19" s="7"/>
      <c r="W19" s="7"/>
      <c r="X19" s="7"/>
    </row>
    <row r="20" spans="1:24" x14ac:dyDescent="0.3">
      <c r="A20" s="6"/>
      <c r="B20" s="6"/>
      <c r="C20" s="6"/>
      <c r="D20" s="7"/>
      <c r="E20" s="7"/>
      <c r="F20" s="7"/>
      <c r="G20" s="7"/>
      <c r="H20" s="7"/>
      <c r="I20" s="7"/>
      <c r="J20" s="7"/>
      <c r="K20" s="7"/>
      <c r="L20" s="7"/>
      <c r="M20" s="7"/>
      <c r="N20" s="7"/>
      <c r="O20" s="7"/>
      <c r="P20" s="7"/>
      <c r="Q20" s="7"/>
      <c r="R20" s="7"/>
      <c r="S20" s="7"/>
      <c r="T20" s="7"/>
      <c r="U20" s="7"/>
      <c r="V20" s="7"/>
      <c r="W20" s="7"/>
      <c r="X20" s="7"/>
    </row>
    <row r="21" spans="1:24" x14ac:dyDescent="0.3">
      <c r="A21" s="6"/>
      <c r="B21" s="6"/>
      <c r="C21" s="6"/>
      <c r="D21" s="7"/>
      <c r="E21" s="7"/>
      <c r="F21" s="7"/>
      <c r="G21" s="7"/>
      <c r="H21" s="7"/>
      <c r="I21" s="7"/>
      <c r="J21" s="7"/>
      <c r="K21" s="7"/>
      <c r="L21" s="7"/>
      <c r="M21" s="7"/>
      <c r="N21" s="7"/>
      <c r="O21" s="7"/>
      <c r="P21" s="7"/>
      <c r="Q21" s="7"/>
      <c r="R21" s="7"/>
      <c r="S21" s="7"/>
      <c r="T21" s="7"/>
      <c r="U21" s="7"/>
      <c r="V21" s="7"/>
      <c r="W21" s="7"/>
      <c r="X21" s="7"/>
    </row>
    <row r="22" spans="1:24" x14ac:dyDescent="0.3">
      <c r="A22" s="6"/>
      <c r="B22" s="6"/>
      <c r="C22" s="6"/>
      <c r="D22" s="7"/>
      <c r="E22" s="7"/>
      <c r="F22" s="7"/>
      <c r="G22" s="7"/>
      <c r="H22" s="7"/>
      <c r="I22" s="7"/>
      <c r="J22" s="7"/>
      <c r="K22" s="7"/>
      <c r="L22" s="7"/>
      <c r="M22" s="7"/>
      <c r="N22" s="7"/>
      <c r="O22" s="7"/>
      <c r="P22" s="7"/>
      <c r="Q22" s="7"/>
      <c r="R22" s="7"/>
      <c r="S22" s="7"/>
      <c r="T22" s="7"/>
      <c r="U22" s="7"/>
      <c r="V22" s="7"/>
      <c r="W22" s="7"/>
      <c r="X22" s="7"/>
    </row>
    <row r="23" spans="1:24" x14ac:dyDescent="0.3">
      <c r="A23" s="6"/>
      <c r="B23" s="6"/>
      <c r="C23" s="6"/>
      <c r="D23" s="7"/>
      <c r="E23" s="7"/>
      <c r="F23" s="7"/>
      <c r="G23" s="7"/>
      <c r="H23" s="7"/>
      <c r="I23" s="7"/>
      <c r="J23" s="7"/>
      <c r="K23" s="7"/>
      <c r="L23" s="7"/>
      <c r="M23" s="7"/>
      <c r="N23" s="7"/>
      <c r="O23" s="7"/>
      <c r="P23" s="7"/>
      <c r="Q23" s="7"/>
      <c r="R23" s="7"/>
      <c r="S23" s="7"/>
      <c r="T23" s="7"/>
      <c r="U23" s="7"/>
      <c r="V23" s="7"/>
      <c r="W23" s="7"/>
      <c r="X23" s="7"/>
    </row>
    <row r="24" spans="1:24" x14ac:dyDescent="0.3">
      <c r="A24" s="6"/>
      <c r="B24" s="6"/>
      <c r="C24" s="6"/>
      <c r="D24" s="7"/>
      <c r="E24" s="7"/>
      <c r="F24" s="7"/>
      <c r="G24" s="7"/>
      <c r="H24" s="7"/>
      <c r="I24" s="7"/>
      <c r="J24" s="7"/>
      <c r="K24" s="7"/>
      <c r="L24" s="7"/>
      <c r="M24" s="7"/>
      <c r="N24" s="7"/>
      <c r="O24" s="7"/>
      <c r="P24" s="7"/>
      <c r="Q24" s="7"/>
      <c r="R24" s="7"/>
      <c r="S24" s="7"/>
      <c r="T24" s="7"/>
      <c r="U24" s="7"/>
      <c r="V24" s="7"/>
      <c r="W24" s="7"/>
      <c r="X24" s="7"/>
    </row>
    <row r="25" spans="1:24" x14ac:dyDescent="0.3">
      <c r="A25" s="6"/>
      <c r="B25" s="6"/>
      <c r="C25" s="6"/>
      <c r="D25" s="7"/>
      <c r="E25" s="7"/>
      <c r="F25" s="7"/>
      <c r="G25" s="7"/>
      <c r="H25" s="7"/>
      <c r="I25" s="7"/>
      <c r="J25" s="7"/>
      <c r="K25" s="7"/>
      <c r="L25" s="7"/>
      <c r="M25" s="7"/>
      <c r="N25" s="7"/>
      <c r="O25" s="7"/>
      <c r="P25" s="7"/>
      <c r="Q25" s="7"/>
      <c r="R25" s="7"/>
      <c r="S25" s="7"/>
      <c r="T25" s="7"/>
      <c r="U25" s="7"/>
      <c r="V25" s="7"/>
      <c r="W25" s="7"/>
      <c r="X25" s="7"/>
    </row>
    <row r="26" spans="1:24" x14ac:dyDescent="0.3">
      <c r="A26" s="6"/>
      <c r="B26" s="6"/>
      <c r="C26" s="6"/>
      <c r="D26" s="7"/>
      <c r="E26" s="7"/>
      <c r="F26" s="7"/>
      <c r="G26" s="7"/>
      <c r="H26" s="7"/>
      <c r="I26" s="7"/>
      <c r="J26" s="7"/>
      <c r="K26" s="7"/>
      <c r="L26" s="7"/>
      <c r="M26" s="7"/>
      <c r="N26" s="7"/>
      <c r="O26" s="7"/>
      <c r="P26" s="7"/>
      <c r="Q26" s="7"/>
      <c r="R26" s="7"/>
      <c r="S26" s="7"/>
      <c r="T26" s="7"/>
      <c r="U26" s="7"/>
      <c r="V26" s="7"/>
      <c r="W26" s="7"/>
      <c r="X26" s="7"/>
    </row>
    <row r="27" spans="1:24" x14ac:dyDescent="0.3">
      <c r="A27" s="6"/>
      <c r="B27" s="6"/>
      <c r="C27" s="6"/>
      <c r="D27" s="7"/>
      <c r="E27" s="7"/>
      <c r="F27" s="7"/>
      <c r="G27" s="7"/>
      <c r="H27" s="7"/>
      <c r="I27" s="7"/>
      <c r="J27" s="7"/>
      <c r="K27" s="7"/>
      <c r="L27" s="7"/>
      <c r="M27" s="7"/>
      <c r="N27" s="7"/>
      <c r="O27" s="7"/>
      <c r="P27" s="7"/>
      <c r="Q27" s="7"/>
      <c r="R27" s="7"/>
      <c r="S27" s="7"/>
      <c r="T27" s="7"/>
      <c r="U27" s="7"/>
      <c r="V27" s="7"/>
      <c r="W27" s="7"/>
      <c r="X27" s="7"/>
    </row>
    <row r="28" spans="1:24" x14ac:dyDescent="0.3">
      <c r="A28" s="6"/>
      <c r="B28" s="6"/>
      <c r="C28" s="6"/>
      <c r="D28" s="7"/>
      <c r="E28" s="7"/>
      <c r="F28" s="7"/>
      <c r="G28" s="7"/>
      <c r="H28" s="7"/>
      <c r="I28" s="7"/>
      <c r="J28" s="7"/>
      <c r="K28" s="7"/>
      <c r="L28" s="7"/>
      <c r="M28" s="7"/>
      <c r="N28" s="7"/>
      <c r="O28" s="7"/>
      <c r="P28" s="7"/>
      <c r="Q28" s="7"/>
      <c r="R28" s="7"/>
      <c r="S28" s="7"/>
      <c r="T28" s="7"/>
      <c r="U28" s="7"/>
      <c r="V28" s="7"/>
      <c r="W28" s="7"/>
      <c r="X28" s="7"/>
    </row>
  </sheetData>
  <mergeCells count="1">
    <mergeCell ref="D1:T3"/>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878-4E26-4EA0-A17D-AE6071B4E86D}">
  <dimension ref="A1:AC41"/>
  <sheetViews>
    <sheetView zoomScaleNormal="100" workbookViewId="0"/>
  </sheetViews>
  <sheetFormatPr defaultRowHeight="14.4" x14ac:dyDescent="0.3"/>
  <cols>
    <col min="5" max="5" width="19.44140625" bestFit="1" customWidth="1"/>
    <col min="6" max="6" width="11.21875" bestFit="1" customWidth="1"/>
    <col min="7" max="7" width="9.5546875" bestFit="1" customWidth="1"/>
    <col min="8" max="8" width="13.6640625" bestFit="1" customWidth="1"/>
    <col min="9" max="9" width="18.6640625" bestFit="1" customWidth="1"/>
  </cols>
  <sheetData>
    <row r="1" spans="1:29" ht="14.4" customHeight="1" x14ac:dyDescent="0.3">
      <c r="A1" s="6"/>
      <c r="B1" s="6"/>
      <c r="C1" s="6"/>
      <c r="D1" s="38" t="s">
        <v>1053</v>
      </c>
      <c r="E1" s="38"/>
      <c r="F1" s="38"/>
      <c r="G1" s="38"/>
      <c r="H1" s="38"/>
      <c r="I1" s="38"/>
      <c r="J1" s="38"/>
      <c r="K1" s="38"/>
      <c r="L1" s="38"/>
      <c r="M1" s="38"/>
      <c r="N1" s="38"/>
      <c r="O1" s="38"/>
      <c r="P1" s="38"/>
      <c r="Q1" s="38"/>
      <c r="R1" s="38"/>
      <c r="S1" s="38"/>
      <c r="T1" s="38"/>
      <c r="U1" s="5"/>
      <c r="V1" s="5"/>
      <c r="W1" s="5"/>
      <c r="X1" s="5"/>
      <c r="Y1" s="10"/>
      <c r="Z1" s="10"/>
      <c r="AA1" s="10"/>
      <c r="AB1" s="10"/>
      <c r="AC1" s="10"/>
    </row>
    <row r="2" spans="1:29" ht="14.4" customHeight="1" x14ac:dyDescent="0.3">
      <c r="A2" s="6"/>
      <c r="B2" s="6"/>
      <c r="C2" s="6"/>
      <c r="D2" s="38"/>
      <c r="E2" s="38"/>
      <c r="F2" s="38"/>
      <c r="G2" s="38"/>
      <c r="H2" s="38"/>
      <c r="I2" s="38"/>
      <c r="J2" s="38"/>
      <c r="K2" s="38"/>
      <c r="L2" s="38"/>
      <c r="M2" s="38"/>
      <c r="N2" s="38"/>
      <c r="O2" s="38"/>
      <c r="P2" s="38"/>
      <c r="Q2" s="38"/>
      <c r="R2" s="38"/>
      <c r="S2" s="38"/>
      <c r="T2" s="38"/>
      <c r="U2" s="5"/>
      <c r="V2" s="5"/>
      <c r="W2" s="5"/>
      <c r="X2" s="5"/>
      <c r="Y2" s="10"/>
      <c r="Z2" s="10"/>
      <c r="AA2" s="10"/>
      <c r="AB2" s="10"/>
      <c r="AC2" s="10"/>
    </row>
    <row r="3" spans="1:29" ht="14.4" customHeight="1" x14ac:dyDescent="0.3">
      <c r="A3" s="6"/>
      <c r="B3" s="6"/>
      <c r="C3" s="6"/>
      <c r="D3" s="38"/>
      <c r="E3" s="38"/>
      <c r="F3" s="38"/>
      <c r="G3" s="38"/>
      <c r="H3" s="38"/>
      <c r="I3" s="38"/>
      <c r="J3" s="38"/>
      <c r="K3" s="38"/>
      <c r="L3" s="38"/>
      <c r="M3" s="38"/>
      <c r="N3" s="38"/>
      <c r="O3" s="38"/>
      <c r="P3" s="38"/>
      <c r="Q3" s="38"/>
      <c r="R3" s="38"/>
      <c r="S3" s="38"/>
      <c r="T3" s="38"/>
      <c r="U3" s="5"/>
      <c r="V3" s="5"/>
      <c r="W3" s="5"/>
      <c r="X3" s="5"/>
      <c r="Y3" s="10"/>
      <c r="Z3" s="10"/>
      <c r="AA3" s="10"/>
      <c r="AB3" s="10"/>
      <c r="AC3" s="10"/>
    </row>
    <row r="4" spans="1:29" ht="14.4" customHeight="1" x14ac:dyDescent="0.3">
      <c r="A4" s="6"/>
      <c r="B4" s="6"/>
      <c r="C4" s="6"/>
      <c r="D4" s="8"/>
      <c r="E4" s="8"/>
      <c r="F4" s="8"/>
      <c r="G4" s="8"/>
      <c r="H4" s="8"/>
      <c r="I4" s="8"/>
      <c r="J4" s="8"/>
      <c r="K4" s="8"/>
      <c r="L4" s="8"/>
      <c r="M4" s="8"/>
      <c r="N4" s="8"/>
      <c r="O4" s="8"/>
      <c r="P4" s="8"/>
      <c r="Q4" s="8"/>
      <c r="R4" s="8"/>
      <c r="S4" s="8"/>
      <c r="T4" s="8"/>
      <c r="U4" s="7"/>
      <c r="V4" s="7"/>
      <c r="W4" s="7"/>
      <c r="X4" s="7"/>
      <c r="Y4" s="7"/>
      <c r="Z4" s="7"/>
      <c r="AA4" s="7"/>
      <c r="AB4" s="7"/>
      <c r="AC4" s="7"/>
    </row>
    <row r="5" spans="1:29" ht="14.4" customHeight="1" x14ac:dyDescent="0.3">
      <c r="A5" s="6"/>
      <c r="B5" s="6"/>
      <c r="C5" s="6"/>
      <c r="D5" s="7"/>
      <c r="E5" s="7"/>
      <c r="F5" s="7"/>
      <c r="G5" s="7"/>
      <c r="H5" s="7"/>
      <c r="I5" s="7"/>
      <c r="J5" s="7"/>
      <c r="K5" s="7"/>
      <c r="L5" s="7"/>
      <c r="M5" s="7"/>
      <c r="N5" s="7"/>
      <c r="O5" s="7"/>
      <c r="P5" s="7"/>
      <c r="Q5" s="7"/>
      <c r="R5" s="7"/>
      <c r="S5" s="7"/>
      <c r="T5" s="7"/>
      <c r="U5" s="7"/>
      <c r="V5" s="7"/>
      <c r="W5" s="7"/>
      <c r="X5" s="7"/>
      <c r="Y5" s="7"/>
      <c r="Z5" s="7"/>
      <c r="AA5" s="7"/>
      <c r="AB5" s="7"/>
      <c r="AC5" s="7"/>
    </row>
    <row r="6" spans="1:29" ht="14.4" customHeight="1" x14ac:dyDescent="0.3">
      <c r="A6" s="6"/>
      <c r="B6" s="6"/>
      <c r="C6" s="6"/>
      <c r="D6" s="7"/>
      <c r="E6" s="7"/>
      <c r="F6" s="7"/>
      <c r="G6" s="7"/>
      <c r="H6" s="7"/>
      <c r="I6" s="7"/>
      <c r="J6" s="7"/>
      <c r="K6" s="7"/>
      <c r="L6" s="7"/>
      <c r="M6" s="7"/>
      <c r="N6" s="7"/>
      <c r="O6" s="7"/>
      <c r="P6" s="7"/>
      <c r="Q6" s="7"/>
      <c r="R6" s="7"/>
      <c r="S6" s="7"/>
      <c r="T6" s="7"/>
      <c r="U6" s="7"/>
      <c r="V6" s="7"/>
      <c r="W6" s="7"/>
      <c r="X6" s="7"/>
      <c r="Y6" s="7"/>
      <c r="Z6" s="7"/>
      <c r="AA6" s="7"/>
      <c r="AB6" s="7"/>
      <c r="AC6" s="7"/>
    </row>
    <row r="7" spans="1:29" x14ac:dyDescent="0.3">
      <c r="A7" s="6"/>
      <c r="B7" s="6"/>
      <c r="C7" s="6"/>
      <c r="D7" s="7"/>
      <c r="E7" s="7"/>
      <c r="F7" s="7"/>
      <c r="G7" s="7"/>
      <c r="H7" s="7"/>
      <c r="I7" s="7"/>
      <c r="J7" s="7"/>
      <c r="K7" s="7"/>
      <c r="L7" s="7"/>
      <c r="M7" s="7"/>
      <c r="N7" s="7"/>
      <c r="O7" s="7"/>
      <c r="P7" s="7"/>
      <c r="Q7" s="7"/>
      <c r="R7" s="7"/>
      <c r="S7" s="7"/>
      <c r="T7" s="7"/>
      <c r="U7" s="7"/>
      <c r="V7" s="7"/>
      <c r="W7" s="7"/>
      <c r="X7" s="7"/>
      <c r="Y7" s="7"/>
      <c r="Z7" s="7"/>
      <c r="AA7" s="7"/>
      <c r="AB7" s="7"/>
      <c r="AC7" s="7"/>
    </row>
    <row r="8" spans="1:29" x14ac:dyDescent="0.3">
      <c r="A8" s="6"/>
      <c r="B8" s="6"/>
      <c r="C8" s="6"/>
      <c r="D8" s="7"/>
      <c r="E8" s="7"/>
      <c r="F8" s="7"/>
      <c r="G8" s="7"/>
      <c r="H8" s="7"/>
      <c r="I8" s="7"/>
      <c r="J8" s="7"/>
      <c r="K8" s="7"/>
      <c r="L8" s="7"/>
      <c r="M8" s="7"/>
      <c r="N8" s="7"/>
      <c r="O8" s="7"/>
      <c r="P8" s="7"/>
      <c r="Q8" s="7"/>
      <c r="R8" s="7"/>
      <c r="S8" s="7"/>
      <c r="T8" s="7"/>
      <c r="U8" s="7"/>
      <c r="V8" s="7"/>
      <c r="W8" s="7"/>
      <c r="X8" s="7"/>
      <c r="Y8" s="7"/>
      <c r="Z8" s="7"/>
      <c r="AA8" s="7"/>
      <c r="AB8" s="7"/>
      <c r="AC8" s="7"/>
    </row>
    <row r="9" spans="1:29" x14ac:dyDescent="0.3">
      <c r="A9" s="6"/>
      <c r="B9" s="6"/>
      <c r="C9" s="6"/>
      <c r="D9" s="7"/>
      <c r="E9" s="20" t="s">
        <v>5</v>
      </c>
      <c r="F9" s="20" t="s">
        <v>1047</v>
      </c>
      <c r="G9" s="20" t="s">
        <v>1048</v>
      </c>
      <c r="H9" s="20" t="s">
        <v>1049</v>
      </c>
      <c r="I9" s="7"/>
      <c r="J9" s="7"/>
      <c r="K9" s="7"/>
      <c r="L9" s="7"/>
      <c r="M9" s="7"/>
      <c r="N9" s="7"/>
      <c r="O9" s="7"/>
      <c r="P9" s="7"/>
      <c r="Q9" s="7"/>
      <c r="R9" s="7"/>
      <c r="S9" s="7"/>
      <c r="T9" s="7"/>
      <c r="U9" s="7"/>
      <c r="V9" s="7"/>
      <c r="W9" s="7"/>
      <c r="X9" s="7"/>
      <c r="Y9" s="7"/>
      <c r="Z9" s="7"/>
      <c r="AA9" s="7"/>
      <c r="AB9" s="7"/>
      <c r="AC9" s="7"/>
    </row>
    <row r="10" spans="1:29" x14ac:dyDescent="0.3">
      <c r="A10" s="6"/>
      <c r="B10" s="6"/>
      <c r="C10" s="6"/>
      <c r="D10" s="7"/>
      <c r="E10" t="s">
        <v>28</v>
      </c>
      <c r="F10" s="16">
        <v>54337.531500000005</v>
      </c>
      <c r="G10" s="16">
        <v>971</v>
      </c>
      <c r="H10" s="16">
        <v>2587.5015000000017</v>
      </c>
      <c r="I10" s="7"/>
      <c r="J10" s="7"/>
      <c r="K10" s="7"/>
      <c r="L10" s="7"/>
      <c r="M10" s="7"/>
      <c r="N10" s="7"/>
      <c r="O10" s="7"/>
      <c r="P10" s="7"/>
      <c r="Q10" s="7"/>
      <c r="R10" s="7"/>
      <c r="S10" s="7"/>
      <c r="T10" s="7"/>
      <c r="U10" s="7"/>
      <c r="V10" s="7"/>
      <c r="W10" s="7"/>
      <c r="X10" s="7"/>
      <c r="Y10" s="7"/>
      <c r="Z10" s="7"/>
      <c r="AA10" s="7"/>
      <c r="AB10" s="7"/>
      <c r="AC10" s="7"/>
    </row>
    <row r="11" spans="1:29" x14ac:dyDescent="0.3">
      <c r="A11" s="6"/>
      <c r="B11" s="6"/>
      <c r="C11" s="6"/>
      <c r="D11" s="7"/>
      <c r="E11" t="s">
        <v>46</v>
      </c>
      <c r="F11" s="16">
        <v>54305.894999999997</v>
      </c>
      <c r="G11" s="16">
        <v>902</v>
      </c>
      <c r="H11" s="16">
        <v>2585.9949999999999</v>
      </c>
      <c r="I11" s="7"/>
      <c r="J11" s="7"/>
      <c r="K11" s="7"/>
      <c r="L11" s="7"/>
      <c r="M11" s="7"/>
      <c r="N11" s="7"/>
      <c r="O11" s="7"/>
      <c r="P11" s="7"/>
      <c r="Q11" s="7"/>
      <c r="R11" s="7"/>
      <c r="S11" s="7"/>
      <c r="T11" s="7"/>
      <c r="U11" s="7"/>
      <c r="V11" s="7"/>
      <c r="W11" s="7"/>
      <c r="X11" s="7"/>
      <c r="Y11" s="7"/>
      <c r="Z11" s="7"/>
      <c r="AA11" s="7"/>
      <c r="AB11" s="7"/>
      <c r="AC11" s="7"/>
    </row>
    <row r="12" spans="1:29" x14ac:dyDescent="0.3">
      <c r="A12" s="6"/>
      <c r="B12" s="6"/>
      <c r="C12" s="6"/>
      <c r="D12" s="7"/>
      <c r="E12" t="s">
        <v>44</v>
      </c>
      <c r="F12" s="16">
        <v>56144.844000000005</v>
      </c>
      <c r="G12" s="16">
        <v>952</v>
      </c>
      <c r="H12" s="16">
        <v>2673.5639999999994</v>
      </c>
      <c r="I12" s="7"/>
      <c r="J12" s="7"/>
      <c r="K12" s="7"/>
      <c r="L12" s="7"/>
      <c r="M12" s="7"/>
      <c r="N12" s="7"/>
      <c r="O12" s="7"/>
      <c r="P12" s="7"/>
      <c r="Q12" s="7"/>
      <c r="R12" s="7"/>
      <c r="S12" s="7"/>
      <c r="T12" s="7"/>
      <c r="U12" s="7"/>
      <c r="V12" s="7"/>
      <c r="W12" s="7"/>
      <c r="X12" s="7"/>
      <c r="Y12" s="7"/>
      <c r="Z12" s="7"/>
      <c r="AA12" s="7"/>
      <c r="AB12" s="7"/>
      <c r="AC12" s="7"/>
    </row>
    <row r="13" spans="1:29" x14ac:dyDescent="0.3">
      <c r="A13" s="6"/>
      <c r="B13" s="6"/>
      <c r="C13" s="6"/>
      <c r="D13" s="7"/>
      <c r="E13" t="s">
        <v>22</v>
      </c>
      <c r="F13" s="16">
        <v>49193.739000000016</v>
      </c>
      <c r="G13" s="16">
        <v>854</v>
      </c>
      <c r="H13" s="16">
        <v>2342.5589999999993</v>
      </c>
      <c r="I13" s="7"/>
      <c r="J13" s="7"/>
      <c r="K13" s="7"/>
      <c r="L13" s="7"/>
      <c r="M13" s="7"/>
      <c r="N13" s="7"/>
      <c r="O13" s="7"/>
      <c r="P13" s="7"/>
      <c r="Q13" s="7"/>
      <c r="R13" s="7"/>
      <c r="S13" s="7"/>
      <c r="T13" s="7"/>
      <c r="U13" s="7"/>
      <c r="V13" s="7"/>
      <c r="W13" s="7"/>
      <c r="X13" s="7"/>
      <c r="Y13" s="7"/>
      <c r="Z13" s="7"/>
      <c r="AA13" s="7"/>
      <c r="AB13" s="7"/>
      <c r="AC13" s="7"/>
    </row>
    <row r="14" spans="1:29" x14ac:dyDescent="0.3">
      <c r="A14" s="6"/>
      <c r="B14" s="6"/>
      <c r="C14" s="6"/>
      <c r="D14" s="7"/>
      <c r="E14" t="s">
        <v>32</v>
      </c>
      <c r="F14" s="16">
        <v>53861.913000000008</v>
      </c>
      <c r="G14" s="16">
        <v>911</v>
      </c>
      <c r="H14" s="16">
        <v>2564.8530000000019</v>
      </c>
      <c r="I14" s="7"/>
      <c r="J14" s="7"/>
      <c r="K14" s="7"/>
      <c r="L14" s="7"/>
      <c r="M14" s="7"/>
      <c r="N14" s="7"/>
      <c r="O14" s="7"/>
      <c r="P14" s="7"/>
      <c r="Q14" s="7"/>
      <c r="R14" s="7"/>
      <c r="S14" s="7"/>
      <c r="T14" s="7"/>
      <c r="U14" s="7"/>
      <c r="V14" s="7"/>
      <c r="W14" s="7"/>
      <c r="X14" s="7"/>
      <c r="Y14" s="7"/>
      <c r="Z14" s="7"/>
      <c r="AA14" s="7"/>
      <c r="AB14" s="7"/>
      <c r="AC14" s="7"/>
    </row>
    <row r="15" spans="1:29" x14ac:dyDescent="0.3">
      <c r="A15" s="6"/>
      <c r="B15" s="6"/>
      <c r="C15" s="6"/>
      <c r="D15" s="7"/>
      <c r="E15" t="s">
        <v>36</v>
      </c>
      <c r="F15" s="16">
        <v>55122.826499999996</v>
      </c>
      <c r="G15" s="16">
        <v>920</v>
      </c>
      <c r="H15" s="16">
        <v>2624.8964999999994</v>
      </c>
      <c r="I15" s="7"/>
      <c r="J15" s="7"/>
      <c r="K15" s="7"/>
      <c r="L15" s="7"/>
      <c r="M15" s="7"/>
      <c r="N15" s="7"/>
      <c r="O15" s="7"/>
      <c r="P15" s="7"/>
      <c r="Q15" s="7"/>
      <c r="R15" s="7"/>
      <c r="S15" s="7"/>
      <c r="T15" s="7"/>
      <c r="U15" s="7"/>
      <c r="V15" s="7"/>
      <c r="W15" s="7"/>
      <c r="X15" s="7"/>
      <c r="Y15" s="7"/>
      <c r="Z15" s="7"/>
      <c r="AA15" s="7"/>
      <c r="AB15" s="7"/>
      <c r="AC15" s="7"/>
    </row>
    <row r="16" spans="1:29" x14ac:dyDescent="0.3">
      <c r="A16" s="6"/>
      <c r="B16" s="6"/>
      <c r="C16" s="6"/>
      <c r="D16" s="7"/>
      <c r="E16" s="20" t="s">
        <v>1037</v>
      </c>
      <c r="F16" s="20">
        <v>322966.74900000007</v>
      </c>
      <c r="G16" s="20">
        <v>5510</v>
      </c>
      <c r="H16" s="20">
        <v>15379.369000000002</v>
      </c>
      <c r="I16" s="7"/>
      <c r="J16" s="7"/>
      <c r="K16" s="7"/>
      <c r="L16" s="7"/>
      <c r="M16" s="7"/>
      <c r="N16" s="7"/>
      <c r="O16" s="7"/>
      <c r="P16" s="7"/>
      <c r="Q16" s="7"/>
      <c r="R16" s="7"/>
      <c r="S16" s="7"/>
      <c r="T16" s="7"/>
      <c r="U16" s="7"/>
      <c r="V16" s="7"/>
      <c r="W16" s="7"/>
      <c r="X16" s="7"/>
      <c r="Y16" s="7"/>
      <c r="Z16" s="7"/>
      <c r="AA16" s="7"/>
      <c r="AB16" s="7"/>
      <c r="AC16" s="7"/>
    </row>
    <row r="17" spans="1:29" x14ac:dyDescent="0.3">
      <c r="A17" s="6"/>
      <c r="B17" s="6"/>
      <c r="C17" s="6"/>
      <c r="D17" s="7"/>
      <c r="E17" s="7"/>
      <c r="F17" s="7"/>
      <c r="G17" s="7"/>
      <c r="H17" s="7"/>
      <c r="I17" s="7"/>
      <c r="J17" s="7"/>
      <c r="K17" s="7"/>
      <c r="L17" s="7"/>
      <c r="M17" s="7"/>
      <c r="N17" s="7"/>
      <c r="O17" s="7"/>
      <c r="P17" s="7"/>
      <c r="Q17" s="7"/>
      <c r="R17" s="7"/>
      <c r="S17" s="7"/>
      <c r="T17" s="7"/>
      <c r="U17" s="7"/>
      <c r="V17" s="7"/>
      <c r="W17" s="7"/>
      <c r="X17" s="7"/>
      <c r="Y17" s="7"/>
      <c r="Z17" s="7"/>
      <c r="AA17" s="7"/>
      <c r="AB17" s="7"/>
      <c r="AC17" s="7"/>
    </row>
    <row r="18" spans="1:29" x14ac:dyDescent="0.3">
      <c r="A18" s="6"/>
      <c r="B18" s="6"/>
      <c r="C18" s="6"/>
      <c r="D18" s="7"/>
      <c r="E18" s="7"/>
      <c r="F18" s="7"/>
      <c r="G18" s="7"/>
      <c r="H18" s="7"/>
      <c r="I18" s="7"/>
      <c r="J18" s="7"/>
      <c r="K18" s="7"/>
      <c r="L18" s="7"/>
      <c r="M18" s="7"/>
      <c r="N18" s="7"/>
      <c r="O18" s="7"/>
      <c r="P18" s="7"/>
      <c r="Q18" s="7"/>
      <c r="R18" s="7"/>
      <c r="S18" s="7"/>
      <c r="T18" s="7"/>
      <c r="U18" s="7"/>
      <c r="V18" s="7"/>
      <c r="W18" s="7"/>
      <c r="X18" s="7"/>
      <c r="Y18" s="7"/>
      <c r="Z18" s="7"/>
      <c r="AA18" s="7"/>
      <c r="AB18" s="7"/>
      <c r="AC18" s="7"/>
    </row>
    <row r="19" spans="1:29" x14ac:dyDescent="0.3">
      <c r="A19" s="6"/>
      <c r="B19" s="6"/>
      <c r="C19" s="6"/>
      <c r="D19" s="7"/>
      <c r="E19" s="7"/>
      <c r="F19" s="7"/>
      <c r="G19" s="7"/>
      <c r="H19" s="7"/>
      <c r="I19" s="7"/>
      <c r="J19" s="7"/>
      <c r="K19" s="7"/>
      <c r="L19" s="7"/>
      <c r="M19" s="7"/>
      <c r="N19" s="7"/>
      <c r="O19" s="7"/>
      <c r="P19" s="7"/>
      <c r="Q19" s="7"/>
      <c r="R19" s="7"/>
      <c r="S19" s="7"/>
      <c r="T19" s="7"/>
      <c r="U19" s="7"/>
      <c r="V19" s="7"/>
      <c r="W19" s="7"/>
      <c r="X19" s="7"/>
      <c r="Y19" s="7"/>
      <c r="Z19" s="7"/>
      <c r="AA19" s="7"/>
      <c r="AB19" s="7"/>
      <c r="AC19" s="7"/>
    </row>
    <row r="20" spans="1:29" x14ac:dyDescent="0.3">
      <c r="A20" s="6"/>
      <c r="B20" s="6"/>
      <c r="C20" s="6"/>
      <c r="D20" s="7"/>
      <c r="E20" s="7"/>
      <c r="F20" s="7"/>
      <c r="G20" s="7"/>
      <c r="H20" s="7"/>
      <c r="I20" s="7"/>
      <c r="J20" s="7"/>
      <c r="K20" s="7"/>
      <c r="L20" s="7"/>
      <c r="M20" s="7"/>
      <c r="N20" s="7"/>
      <c r="O20" s="7"/>
      <c r="P20" s="7"/>
      <c r="Q20" s="7"/>
      <c r="R20" s="7"/>
      <c r="S20" s="7"/>
      <c r="T20" s="7"/>
      <c r="U20" s="7"/>
      <c r="V20" s="7"/>
      <c r="W20" s="7"/>
      <c r="X20" s="7"/>
      <c r="Y20" s="7"/>
      <c r="Z20" s="7"/>
      <c r="AA20" s="7"/>
      <c r="AB20" s="7"/>
      <c r="AC20" s="7"/>
    </row>
    <row r="21" spans="1:29" x14ac:dyDescent="0.3">
      <c r="A21" s="6"/>
      <c r="B21" s="6"/>
      <c r="C21" s="6"/>
      <c r="D21" s="7"/>
      <c r="E21" s="7"/>
      <c r="F21" s="7"/>
      <c r="G21" s="7"/>
      <c r="H21" s="7"/>
      <c r="I21" s="7"/>
      <c r="J21" s="7"/>
      <c r="K21" s="7"/>
      <c r="L21" s="7"/>
      <c r="M21" s="7"/>
      <c r="N21" s="7"/>
      <c r="O21" s="7"/>
      <c r="P21" s="7"/>
      <c r="Q21" s="7"/>
      <c r="R21" s="7"/>
      <c r="S21" s="7"/>
      <c r="T21" s="7"/>
      <c r="U21" s="7"/>
      <c r="V21" s="7"/>
      <c r="W21" s="7"/>
      <c r="X21" s="7"/>
      <c r="Y21" s="7"/>
      <c r="Z21" s="7"/>
      <c r="AA21" s="7"/>
      <c r="AB21" s="7"/>
      <c r="AC21" s="7"/>
    </row>
    <row r="22" spans="1:29" x14ac:dyDescent="0.3">
      <c r="A22" s="6"/>
      <c r="B22" s="6"/>
      <c r="C22" s="6"/>
      <c r="D22" s="7"/>
      <c r="E22" s="7"/>
      <c r="F22" s="7"/>
      <c r="G22" s="7"/>
      <c r="H22" s="7"/>
      <c r="I22" s="7"/>
      <c r="J22" s="7"/>
      <c r="K22" s="7"/>
      <c r="L22" s="7"/>
      <c r="M22" s="7"/>
      <c r="N22" s="7"/>
      <c r="O22" s="7"/>
      <c r="P22" s="7"/>
      <c r="Q22" s="7"/>
      <c r="R22" s="7"/>
      <c r="S22" s="7"/>
      <c r="T22" s="7"/>
      <c r="U22" s="7"/>
      <c r="V22" s="7"/>
      <c r="W22" s="7"/>
      <c r="X22" s="7"/>
      <c r="Y22" s="7"/>
      <c r="Z22" s="7"/>
      <c r="AA22" s="7"/>
      <c r="AB22" s="7"/>
      <c r="AC22" s="7"/>
    </row>
    <row r="23" spans="1:29" x14ac:dyDescent="0.3">
      <c r="A23" s="6"/>
      <c r="B23" s="6"/>
      <c r="C23" s="6"/>
      <c r="D23" s="7"/>
      <c r="E23" s="7"/>
      <c r="F23" s="7"/>
      <c r="G23" s="7"/>
      <c r="H23" s="7"/>
      <c r="I23" s="7"/>
      <c r="J23" s="7"/>
      <c r="K23" s="7"/>
      <c r="L23" s="7"/>
      <c r="M23" s="7"/>
      <c r="N23" s="7"/>
      <c r="O23" s="7"/>
      <c r="P23" s="7"/>
      <c r="Q23" s="7"/>
      <c r="R23" s="7"/>
      <c r="S23" s="7"/>
      <c r="T23" s="7"/>
      <c r="U23" s="7"/>
      <c r="V23" s="7"/>
      <c r="W23" s="7"/>
      <c r="X23" s="7"/>
      <c r="Y23" s="7"/>
      <c r="Z23" s="7"/>
      <c r="AA23" s="7"/>
      <c r="AB23" s="7"/>
      <c r="AC23" s="7"/>
    </row>
    <row r="24" spans="1:29" x14ac:dyDescent="0.3">
      <c r="A24" s="6"/>
      <c r="B24" s="6"/>
      <c r="C24" s="6"/>
      <c r="D24" s="7"/>
      <c r="E24" s="7"/>
      <c r="F24" s="7"/>
      <c r="G24" s="7"/>
      <c r="H24" s="7"/>
      <c r="I24" s="7"/>
      <c r="J24" s="7"/>
      <c r="K24" s="7"/>
      <c r="L24" s="7"/>
      <c r="M24" s="7"/>
      <c r="N24" s="7"/>
      <c r="O24" s="7"/>
      <c r="P24" s="7"/>
      <c r="Q24" s="7"/>
      <c r="R24" s="7"/>
      <c r="S24" s="7"/>
      <c r="T24" s="7"/>
      <c r="U24" s="7"/>
      <c r="V24" s="7"/>
      <c r="W24" s="7"/>
      <c r="X24" s="7"/>
      <c r="Y24" s="7"/>
      <c r="Z24" s="7"/>
      <c r="AA24" s="7"/>
      <c r="AB24" s="7"/>
      <c r="AC24" s="7"/>
    </row>
    <row r="25" spans="1:29" x14ac:dyDescent="0.3">
      <c r="A25" s="6"/>
      <c r="B25" s="6"/>
      <c r="C25" s="6"/>
      <c r="D25" s="7"/>
      <c r="E25" s="7"/>
      <c r="F25" s="7"/>
      <c r="G25" s="7"/>
      <c r="H25" s="7"/>
      <c r="I25" s="7"/>
      <c r="J25" s="7"/>
      <c r="K25" s="7"/>
      <c r="L25" s="7"/>
      <c r="M25" s="7"/>
      <c r="N25" s="7"/>
      <c r="O25" s="7"/>
      <c r="P25" s="7"/>
      <c r="Q25" s="7"/>
      <c r="R25" s="7"/>
      <c r="S25" s="7"/>
      <c r="T25" s="7"/>
      <c r="U25" s="7"/>
      <c r="V25" s="7"/>
      <c r="W25" s="7"/>
      <c r="X25" s="7"/>
      <c r="Y25" s="7"/>
      <c r="Z25" s="7"/>
      <c r="AA25" s="7"/>
      <c r="AB25" s="7"/>
      <c r="AC25" s="7"/>
    </row>
    <row r="26" spans="1:29" x14ac:dyDescent="0.3">
      <c r="A26" s="6"/>
      <c r="B26" s="6"/>
      <c r="C26" s="6"/>
      <c r="D26" s="7"/>
      <c r="E26" s="7"/>
      <c r="F26" s="7"/>
      <c r="G26" s="7"/>
      <c r="H26" s="7"/>
      <c r="I26" s="7"/>
      <c r="J26" s="7"/>
      <c r="K26" s="7"/>
      <c r="L26" s="7"/>
      <c r="M26" s="7"/>
      <c r="N26" s="7"/>
      <c r="O26" s="7"/>
      <c r="P26" s="7"/>
      <c r="Q26" s="7"/>
      <c r="R26" s="7"/>
      <c r="S26" s="7"/>
      <c r="T26" s="7"/>
      <c r="U26" s="7"/>
      <c r="V26" s="7"/>
      <c r="W26" s="7"/>
      <c r="X26" s="7"/>
      <c r="Y26" s="7"/>
      <c r="Z26" s="7"/>
      <c r="AA26" s="7"/>
      <c r="AB26" s="7"/>
      <c r="AC26" s="7"/>
    </row>
    <row r="27" spans="1:29" x14ac:dyDescent="0.3">
      <c r="A27" s="6"/>
      <c r="B27" s="6"/>
      <c r="C27" s="6"/>
      <c r="D27" s="7"/>
      <c r="E27" s="7"/>
      <c r="F27" s="7"/>
      <c r="G27" s="7"/>
      <c r="H27" s="7"/>
      <c r="I27" s="7"/>
      <c r="J27" s="7"/>
      <c r="K27" s="7"/>
      <c r="L27" s="7"/>
      <c r="M27" s="7"/>
      <c r="N27" s="7"/>
      <c r="O27" s="7"/>
      <c r="P27" s="7"/>
      <c r="Q27" s="7"/>
      <c r="R27" s="7"/>
      <c r="S27" s="7"/>
      <c r="T27" s="7"/>
      <c r="U27" s="7"/>
      <c r="V27" s="7"/>
      <c r="W27" s="7"/>
      <c r="X27" s="7"/>
      <c r="Y27" s="7"/>
      <c r="Z27" s="7"/>
      <c r="AA27" s="7"/>
      <c r="AB27" s="7"/>
      <c r="AC27" s="7"/>
    </row>
    <row r="28" spans="1:29" x14ac:dyDescent="0.3">
      <c r="A28" s="6"/>
      <c r="B28" s="6"/>
      <c r="C28" s="6"/>
      <c r="D28" s="7"/>
      <c r="E28" s="7"/>
      <c r="F28" s="7"/>
      <c r="G28" s="7"/>
      <c r="H28" s="7"/>
      <c r="I28" s="7"/>
      <c r="J28" s="7"/>
      <c r="K28" s="7"/>
      <c r="L28" s="7"/>
      <c r="M28" s="7"/>
      <c r="N28" s="7"/>
      <c r="O28" s="7"/>
      <c r="P28" s="7"/>
      <c r="Q28" s="7"/>
      <c r="R28" s="7"/>
      <c r="S28" s="7"/>
      <c r="T28" s="7"/>
      <c r="U28" s="7"/>
      <c r="V28" s="7"/>
      <c r="W28" s="7"/>
      <c r="X28" s="7"/>
      <c r="Y28" s="7"/>
      <c r="Z28" s="7"/>
      <c r="AA28" s="7"/>
      <c r="AB28" s="7"/>
      <c r="AC28" s="7"/>
    </row>
    <row r="29" spans="1:29" x14ac:dyDescent="0.3">
      <c r="A29" s="6"/>
      <c r="B29" s="6"/>
      <c r="C29" s="6"/>
      <c r="D29" s="7"/>
      <c r="E29" s="7"/>
      <c r="F29" s="7"/>
      <c r="G29" s="7"/>
      <c r="H29" s="7"/>
      <c r="I29" s="7"/>
      <c r="J29" s="7"/>
      <c r="K29" s="7"/>
      <c r="L29" s="7"/>
      <c r="M29" s="7"/>
      <c r="N29" s="7"/>
      <c r="O29" s="7"/>
      <c r="P29" s="7"/>
      <c r="Q29" s="7"/>
      <c r="R29" s="7"/>
      <c r="S29" s="7"/>
      <c r="T29" s="7"/>
      <c r="U29" s="7"/>
      <c r="V29" s="7"/>
      <c r="W29" s="7"/>
      <c r="X29" s="7"/>
      <c r="Y29" s="7"/>
      <c r="Z29" s="7"/>
      <c r="AA29" s="7"/>
      <c r="AB29" s="7"/>
      <c r="AC29" s="7"/>
    </row>
    <row r="30" spans="1:29" x14ac:dyDescent="0.3">
      <c r="A30" s="6"/>
      <c r="B30" s="6"/>
      <c r="C30" s="6"/>
      <c r="D30" s="7"/>
      <c r="E30" s="7"/>
      <c r="F30" s="7"/>
      <c r="G30" s="7"/>
      <c r="H30" s="7"/>
      <c r="I30" s="7"/>
      <c r="J30" s="7"/>
      <c r="K30" s="7"/>
      <c r="L30" s="7"/>
      <c r="M30" s="7"/>
      <c r="N30" s="7"/>
      <c r="O30" s="7"/>
      <c r="P30" s="7"/>
      <c r="Q30" s="7"/>
      <c r="R30" s="7"/>
      <c r="S30" s="7"/>
      <c r="T30" s="7"/>
      <c r="U30" s="7"/>
      <c r="V30" s="7"/>
      <c r="W30" s="7"/>
      <c r="X30" s="7"/>
      <c r="Y30" s="7"/>
      <c r="Z30" s="7"/>
      <c r="AA30" s="7"/>
      <c r="AB30" s="7"/>
      <c r="AC30" s="7"/>
    </row>
    <row r="31" spans="1:29" x14ac:dyDescent="0.3">
      <c r="A31" s="6"/>
      <c r="B31" s="6"/>
      <c r="C31" s="6"/>
      <c r="D31" s="7"/>
      <c r="E31" s="7"/>
      <c r="F31" s="7"/>
      <c r="G31" s="7"/>
      <c r="H31" s="7"/>
      <c r="I31" s="7"/>
      <c r="J31" s="7"/>
      <c r="K31" s="7"/>
      <c r="L31" s="7"/>
      <c r="M31" s="7"/>
      <c r="N31" s="7"/>
      <c r="O31" s="7"/>
      <c r="P31" s="7"/>
      <c r="Q31" s="7"/>
      <c r="R31" s="7"/>
      <c r="S31" s="7"/>
      <c r="T31" s="7"/>
      <c r="U31" s="7"/>
      <c r="V31" s="7"/>
      <c r="W31" s="7"/>
      <c r="X31" s="7"/>
      <c r="Y31" s="7"/>
      <c r="Z31" s="7"/>
      <c r="AA31" s="7"/>
      <c r="AB31" s="7"/>
      <c r="AC31" s="7"/>
    </row>
    <row r="32" spans="1:29" x14ac:dyDescent="0.3">
      <c r="A32" s="6"/>
      <c r="B32" s="6"/>
      <c r="C32" s="6"/>
      <c r="D32" s="7"/>
      <c r="E32" s="7"/>
      <c r="F32" s="7"/>
      <c r="G32" s="7"/>
      <c r="H32" s="7"/>
      <c r="I32" s="7"/>
      <c r="J32" s="7"/>
      <c r="K32" s="7"/>
      <c r="L32" s="7"/>
      <c r="M32" s="7"/>
      <c r="N32" s="7"/>
      <c r="O32" s="7"/>
      <c r="P32" s="7"/>
      <c r="Q32" s="7"/>
      <c r="R32" s="7"/>
      <c r="S32" s="7"/>
      <c r="T32" s="7"/>
      <c r="U32" s="7"/>
      <c r="V32" s="7"/>
      <c r="W32" s="7"/>
      <c r="X32" s="7"/>
    </row>
    <row r="33" spans="1:24" x14ac:dyDescent="0.3">
      <c r="A33" s="6"/>
      <c r="B33" s="6"/>
      <c r="C33" s="6"/>
      <c r="D33" s="7"/>
      <c r="E33" s="7"/>
      <c r="F33" s="7"/>
      <c r="G33" s="7"/>
      <c r="H33" s="7"/>
      <c r="I33" s="7"/>
      <c r="J33" s="7"/>
      <c r="K33" s="7"/>
      <c r="L33" s="7"/>
      <c r="M33" s="7"/>
      <c r="N33" s="7"/>
      <c r="O33" s="7"/>
      <c r="P33" s="7"/>
      <c r="Q33" s="7"/>
      <c r="R33" s="7"/>
      <c r="S33" s="7"/>
      <c r="T33" s="7"/>
      <c r="U33" s="7"/>
      <c r="V33" s="7"/>
      <c r="W33" s="7"/>
      <c r="X33" s="7"/>
    </row>
    <row r="34" spans="1:24" x14ac:dyDescent="0.3">
      <c r="A34" s="6"/>
      <c r="B34" s="6"/>
      <c r="C34" s="6"/>
      <c r="D34" s="7"/>
      <c r="E34" s="7"/>
      <c r="F34" s="7"/>
      <c r="G34" s="7"/>
      <c r="H34" s="7"/>
      <c r="I34" s="7"/>
      <c r="J34" s="7"/>
      <c r="K34" s="7"/>
      <c r="L34" s="7"/>
      <c r="M34" s="7"/>
      <c r="N34" s="7"/>
      <c r="O34" s="7"/>
      <c r="P34" s="7"/>
      <c r="Q34" s="7"/>
      <c r="R34" s="7"/>
      <c r="S34" s="7"/>
      <c r="T34" s="7"/>
      <c r="U34" s="7"/>
      <c r="V34" s="7"/>
      <c r="W34" s="7"/>
      <c r="X34" s="7"/>
    </row>
    <row r="35" spans="1:24" x14ac:dyDescent="0.3">
      <c r="A35" s="6"/>
      <c r="B35" s="6"/>
      <c r="C35" s="6"/>
      <c r="D35" s="7"/>
      <c r="E35" s="7"/>
      <c r="F35" s="7"/>
      <c r="G35" s="7"/>
      <c r="H35" s="7"/>
      <c r="I35" s="7"/>
      <c r="J35" s="7"/>
      <c r="K35" s="7"/>
      <c r="L35" s="7"/>
      <c r="M35" s="7"/>
      <c r="N35" s="7"/>
      <c r="O35" s="7"/>
      <c r="P35" s="7"/>
      <c r="Q35" s="7"/>
      <c r="R35" s="7"/>
      <c r="S35" s="7"/>
      <c r="T35" s="7"/>
      <c r="U35" s="7"/>
      <c r="V35" s="7"/>
      <c r="W35" s="7"/>
      <c r="X35" s="7"/>
    </row>
    <row r="36" spans="1:24" x14ac:dyDescent="0.3">
      <c r="A36" s="6"/>
      <c r="B36" s="6"/>
      <c r="C36" s="6"/>
      <c r="D36" s="7"/>
      <c r="E36" s="7"/>
      <c r="F36" s="7"/>
      <c r="G36" s="7"/>
      <c r="H36" s="7"/>
      <c r="I36" s="7"/>
      <c r="J36" s="7"/>
      <c r="K36" s="7"/>
      <c r="L36" s="7"/>
      <c r="M36" s="7"/>
      <c r="N36" s="7"/>
      <c r="O36" s="7"/>
      <c r="P36" s="7"/>
      <c r="Q36" s="7"/>
      <c r="R36" s="7"/>
      <c r="S36" s="7"/>
      <c r="T36" s="7"/>
      <c r="U36" s="7"/>
      <c r="V36" s="7"/>
      <c r="W36" s="7"/>
      <c r="X36" s="7"/>
    </row>
    <row r="37" spans="1:24" x14ac:dyDescent="0.3">
      <c r="A37" s="6"/>
      <c r="B37" s="6"/>
      <c r="C37" s="6"/>
      <c r="D37" s="7"/>
      <c r="E37" s="7"/>
      <c r="F37" s="7"/>
      <c r="G37" s="7"/>
      <c r="H37" s="7"/>
      <c r="I37" s="7"/>
      <c r="J37" s="7"/>
      <c r="K37" s="7"/>
      <c r="L37" s="7"/>
      <c r="M37" s="7"/>
      <c r="N37" s="7"/>
      <c r="O37" s="7"/>
      <c r="P37" s="7"/>
      <c r="Q37" s="7"/>
      <c r="R37" s="7"/>
      <c r="S37" s="7"/>
      <c r="T37" s="7"/>
      <c r="U37" s="7"/>
      <c r="V37" s="7"/>
      <c r="W37" s="7"/>
      <c r="X37" s="7"/>
    </row>
    <row r="38" spans="1:24" x14ac:dyDescent="0.3">
      <c r="A38" s="6"/>
      <c r="B38" s="6"/>
      <c r="C38" s="6"/>
      <c r="D38" s="7"/>
      <c r="E38" s="7"/>
      <c r="F38" s="7"/>
      <c r="G38" s="7"/>
      <c r="H38" s="7"/>
      <c r="I38" s="7"/>
      <c r="J38" s="7"/>
      <c r="K38" s="7"/>
      <c r="L38" s="7"/>
      <c r="M38" s="7"/>
      <c r="N38" s="7"/>
      <c r="O38" s="7"/>
      <c r="P38" s="7"/>
      <c r="Q38" s="7"/>
      <c r="R38" s="7"/>
      <c r="S38" s="7"/>
      <c r="T38" s="7"/>
      <c r="U38" s="7"/>
      <c r="V38" s="7"/>
      <c r="W38" s="7"/>
      <c r="X38" s="7"/>
    </row>
    <row r="39" spans="1:24" x14ac:dyDescent="0.3">
      <c r="A39" s="6"/>
      <c r="B39" s="6"/>
      <c r="C39" s="6"/>
      <c r="D39" s="7"/>
      <c r="E39" s="7"/>
      <c r="F39" s="7"/>
      <c r="G39" s="7"/>
      <c r="H39" s="7"/>
      <c r="I39" s="7"/>
      <c r="J39" s="7"/>
      <c r="K39" s="7"/>
      <c r="L39" s="7"/>
      <c r="M39" s="7"/>
      <c r="N39" s="7"/>
      <c r="O39" s="7"/>
      <c r="P39" s="7"/>
      <c r="Q39" s="7"/>
      <c r="R39" s="7"/>
      <c r="S39" s="7"/>
      <c r="T39" s="7"/>
      <c r="U39" s="7"/>
      <c r="V39" s="7"/>
      <c r="W39" s="7"/>
      <c r="X39" s="7"/>
    </row>
    <row r="40" spans="1:24" x14ac:dyDescent="0.3">
      <c r="A40" s="6"/>
      <c r="B40" s="6"/>
      <c r="C40" s="6"/>
      <c r="D40" s="7"/>
      <c r="E40" s="7"/>
      <c r="F40" s="7"/>
      <c r="G40" s="7"/>
      <c r="H40" s="7"/>
      <c r="I40" s="7"/>
      <c r="J40" s="7"/>
      <c r="K40" s="7"/>
      <c r="L40" s="7"/>
      <c r="M40" s="7"/>
      <c r="N40" s="7"/>
      <c r="O40" s="7"/>
      <c r="P40" s="7"/>
      <c r="Q40" s="7"/>
      <c r="R40" s="7"/>
      <c r="S40" s="7"/>
      <c r="T40" s="7"/>
      <c r="U40" s="7"/>
      <c r="V40" s="7"/>
      <c r="W40" s="7"/>
      <c r="X40" s="7"/>
    </row>
    <row r="41" spans="1:24" x14ac:dyDescent="0.3">
      <c r="A41" s="6"/>
      <c r="B41" s="6"/>
      <c r="C41" s="6"/>
      <c r="D41" s="7"/>
      <c r="E41" s="7"/>
      <c r="F41" s="7"/>
      <c r="G41" s="7"/>
      <c r="H41" s="7"/>
      <c r="I41" s="7"/>
      <c r="J41" s="7"/>
      <c r="K41" s="7"/>
      <c r="L41" s="7"/>
      <c r="M41" s="7"/>
      <c r="N41" s="7"/>
      <c r="O41" s="7"/>
      <c r="P41" s="7"/>
      <c r="Q41" s="7"/>
      <c r="R41" s="7"/>
      <c r="S41" s="7"/>
      <c r="T41" s="7"/>
      <c r="U41" s="7"/>
      <c r="V41" s="7"/>
      <c r="W41" s="7"/>
      <c r="X41" s="7"/>
    </row>
  </sheetData>
  <mergeCells count="1">
    <mergeCell ref="D1:T3"/>
  </mergeCell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BDFE4-6ED0-49F3-9EFB-D634F0464612}">
  <dimension ref="A1:AK28"/>
  <sheetViews>
    <sheetView tabSelected="1" zoomScale="98" workbookViewId="0">
      <selection activeCell="I4" sqref="I4"/>
    </sheetView>
  </sheetViews>
  <sheetFormatPr defaultRowHeight="14.4" x14ac:dyDescent="0.3"/>
  <cols>
    <col min="10" max="10" width="10" bestFit="1" customWidth="1"/>
    <col min="11" max="11" width="11.21875" bestFit="1" customWidth="1"/>
  </cols>
  <sheetData>
    <row r="1" spans="1:37" ht="14.4" customHeight="1" x14ac:dyDescent="0.3">
      <c r="A1" s="6"/>
      <c r="B1" s="6"/>
      <c r="C1" s="6"/>
      <c r="D1" s="34" t="s">
        <v>1054</v>
      </c>
      <c r="E1" s="34"/>
      <c r="F1" s="34"/>
      <c r="G1" s="34"/>
      <c r="H1" s="34"/>
      <c r="I1" s="34"/>
      <c r="J1" s="34"/>
      <c r="K1" s="34"/>
      <c r="L1" s="34"/>
      <c r="M1" s="34"/>
      <c r="N1" s="34"/>
      <c r="O1" s="34"/>
      <c r="P1" s="34"/>
      <c r="Q1" s="34"/>
      <c r="R1" s="34"/>
      <c r="S1" s="34"/>
      <c r="T1" s="34"/>
      <c r="U1" s="34"/>
      <c r="V1" s="27"/>
      <c r="W1" s="27"/>
      <c r="X1" s="27"/>
      <c r="Y1" s="27"/>
      <c r="Z1" s="23"/>
      <c r="AA1" s="23"/>
      <c r="AB1" s="23"/>
      <c r="AC1" s="23"/>
      <c r="AD1" s="23"/>
      <c r="AE1" s="23"/>
      <c r="AF1" s="23"/>
      <c r="AG1" s="23"/>
      <c r="AH1" s="23"/>
      <c r="AI1" s="23"/>
      <c r="AJ1" s="23"/>
      <c r="AK1" s="23"/>
    </row>
    <row r="2" spans="1:37" ht="14.4" customHeight="1" x14ac:dyDescent="0.3">
      <c r="A2" s="6"/>
      <c r="B2" s="6"/>
      <c r="C2" s="6"/>
      <c r="D2" s="34"/>
      <c r="E2" s="34"/>
      <c r="F2" s="34"/>
      <c r="G2" s="34"/>
      <c r="H2" s="34"/>
      <c r="I2" s="34"/>
      <c r="J2" s="34"/>
      <c r="K2" s="34"/>
      <c r="L2" s="34"/>
      <c r="M2" s="34"/>
      <c r="N2" s="34"/>
      <c r="O2" s="34"/>
      <c r="P2" s="34"/>
      <c r="Q2" s="34"/>
      <c r="R2" s="34"/>
      <c r="S2" s="34"/>
      <c r="T2" s="34"/>
      <c r="U2" s="34"/>
      <c r="V2" s="27"/>
      <c r="W2" s="27"/>
      <c r="X2" s="27"/>
      <c r="Y2" s="27"/>
      <c r="Z2" s="23"/>
      <c r="AA2" s="23"/>
      <c r="AB2" s="23"/>
      <c r="AC2" s="23"/>
      <c r="AD2" s="23"/>
      <c r="AE2" s="23"/>
      <c r="AF2" s="23"/>
      <c r="AG2" s="23"/>
      <c r="AH2" s="23"/>
      <c r="AI2" s="23"/>
      <c r="AJ2" s="23"/>
      <c r="AK2" s="23"/>
    </row>
    <row r="3" spans="1:37" ht="14.4" customHeight="1" x14ac:dyDescent="0.3">
      <c r="A3" s="6"/>
      <c r="B3" s="6"/>
      <c r="C3" s="6"/>
      <c r="D3" s="34"/>
      <c r="E3" s="34"/>
      <c r="F3" s="34"/>
      <c r="G3" s="34"/>
      <c r="H3" s="34"/>
      <c r="I3" s="34"/>
      <c r="J3" s="34"/>
      <c r="K3" s="34"/>
      <c r="L3" s="34"/>
      <c r="M3" s="34"/>
      <c r="N3" s="34"/>
      <c r="O3" s="34"/>
      <c r="P3" s="34"/>
      <c r="Q3" s="34"/>
      <c r="R3" s="34"/>
      <c r="S3" s="34"/>
      <c r="T3" s="34"/>
      <c r="U3" s="34"/>
      <c r="V3" s="27"/>
      <c r="W3" s="27"/>
      <c r="X3" s="27"/>
      <c r="Y3" s="27"/>
      <c r="Z3" s="23"/>
      <c r="AA3" s="23"/>
      <c r="AB3" s="23"/>
      <c r="AC3" s="23"/>
      <c r="AD3" s="23"/>
      <c r="AE3" s="23"/>
      <c r="AF3" s="23"/>
      <c r="AG3" s="23"/>
      <c r="AH3" s="23"/>
      <c r="AI3" s="23"/>
      <c r="AJ3" s="23"/>
      <c r="AK3" s="23"/>
    </row>
    <row r="4" spans="1:37" ht="14.4" customHeight="1" x14ac:dyDescent="0.3">
      <c r="A4" s="6"/>
      <c r="B4" s="6"/>
      <c r="C4" s="6"/>
      <c r="D4" s="8"/>
      <c r="E4" s="8"/>
      <c r="F4" s="8"/>
      <c r="G4" s="8"/>
      <c r="H4" s="8"/>
      <c r="I4" s="8"/>
      <c r="J4" s="8"/>
      <c r="K4" s="8"/>
      <c r="L4" s="8"/>
      <c r="M4" s="8"/>
      <c r="N4" s="8"/>
      <c r="O4" s="8"/>
      <c r="P4" s="8"/>
      <c r="Q4" s="8"/>
      <c r="R4" s="8"/>
      <c r="S4" s="8"/>
      <c r="T4" s="8"/>
      <c r="U4" s="7"/>
      <c r="V4" s="7"/>
      <c r="W4" s="7"/>
      <c r="X4" s="7"/>
    </row>
    <row r="5" spans="1:37" ht="14.4" customHeight="1" x14ac:dyDescent="0.3">
      <c r="A5" s="6"/>
      <c r="B5" s="6"/>
      <c r="C5" s="6"/>
      <c r="D5" s="7"/>
      <c r="E5" s="7"/>
      <c r="F5" s="7"/>
      <c r="G5" s="7"/>
      <c r="H5" s="7"/>
      <c r="I5" s="7"/>
      <c r="J5" s="12" t="s">
        <v>1059</v>
      </c>
      <c r="K5" s="12" t="s">
        <v>1058</v>
      </c>
      <c r="L5" s="7"/>
      <c r="M5" s="5"/>
      <c r="N5" s="5"/>
      <c r="O5" s="5"/>
      <c r="P5" s="5"/>
      <c r="Q5" s="5"/>
      <c r="R5" s="5"/>
      <c r="S5" s="5"/>
      <c r="T5" s="5"/>
      <c r="U5" s="5"/>
      <c r="V5" s="5"/>
      <c r="W5" s="7"/>
      <c r="X5" s="7"/>
    </row>
    <row r="6" spans="1:37" ht="14.4" customHeight="1" x14ac:dyDescent="0.3">
      <c r="A6" s="6"/>
      <c r="B6" s="6"/>
      <c r="C6" s="6"/>
      <c r="D6" s="7"/>
      <c r="E6" s="7"/>
      <c r="F6" s="7"/>
      <c r="G6" s="7"/>
      <c r="H6" s="7"/>
      <c r="I6" s="7"/>
      <c r="J6" s="4" t="s">
        <v>1055</v>
      </c>
      <c r="K6" s="39">
        <v>116291.86800000005</v>
      </c>
      <c r="L6" s="7"/>
      <c r="M6" s="5"/>
      <c r="N6" s="5"/>
      <c r="O6" s="5"/>
      <c r="P6" s="5"/>
      <c r="Q6" s="5"/>
      <c r="R6" s="5"/>
      <c r="S6" s="5"/>
      <c r="T6" s="5"/>
      <c r="U6" s="5"/>
      <c r="V6" s="5"/>
      <c r="W6" s="7"/>
      <c r="X6" s="7"/>
    </row>
    <row r="7" spans="1:37" x14ac:dyDescent="0.3">
      <c r="A7" s="6"/>
      <c r="B7" s="6"/>
      <c r="C7" s="6"/>
      <c r="D7" s="7"/>
      <c r="E7" s="7"/>
      <c r="F7" s="7"/>
      <c r="G7" s="7"/>
      <c r="H7" s="7"/>
      <c r="I7" s="7"/>
      <c r="J7" s="4" t="s">
        <v>1056</v>
      </c>
      <c r="K7" s="39">
        <v>97219.373999999967</v>
      </c>
      <c r="L7" s="7"/>
      <c r="M7" s="5"/>
      <c r="N7" s="5" t="s">
        <v>1051</v>
      </c>
      <c r="O7" s="5"/>
      <c r="P7" s="5"/>
      <c r="Q7" s="5"/>
      <c r="R7" s="5"/>
      <c r="S7" s="5"/>
      <c r="T7" s="5"/>
      <c r="U7" s="5"/>
      <c r="V7" s="5"/>
      <c r="W7" s="7"/>
      <c r="X7" s="7"/>
    </row>
    <row r="8" spans="1:37" x14ac:dyDescent="0.3">
      <c r="A8" s="6"/>
      <c r="B8" s="6"/>
      <c r="C8" s="6"/>
      <c r="D8" s="7"/>
      <c r="E8" s="7"/>
      <c r="F8" s="7"/>
      <c r="G8" s="7"/>
      <c r="H8" s="7"/>
      <c r="I8" s="7"/>
      <c r="J8" s="4" t="s">
        <v>1057</v>
      </c>
      <c r="K8" s="39">
        <v>109455.50700000004</v>
      </c>
      <c r="L8" s="7"/>
      <c r="M8" s="7"/>
      <c r="N8" s="7"/>
      <c r="O8" s="7"/>
      <c r="P8" s="7"/>
      <c r="Q8" s="7"/>
      <c r="R8" s="7"/>
      <c r="S8" s="7"/>
      <c r="T8" s="7"/>
      <c r="U8" s="7"/>
      <c r="V8" s="7"/>
      <c r="W8" s="7"/>
      <c r="X8" s="7"/>
    </row>
    <row r="9" spans="1:37" x14ac:dyDescent="0.3">
      <c r="A9" s="6"/>
      <c r="B9" s="6"/>
      <c r="C9" s="6"/>
      <c r="D9" s="7"/>
      <c r="E9" s="7"/>
      <c r="F9" s="7"/>
      <c r="G9" s="7"/>
      <c r="H9" s="7"/>
      <c r="I9" s="7"/>
      <c r="J9" s="7"/>
      <c r="K9" s="7"/>
      <c r="L9" s="7"/>
      <c r="M9" s="7"/>
      <c r="N9" s="7"/>
      <c r="O9" s="7"/>
      <c r="P9" s="7"/>
      <c r="Q9" s="7"/>
      <c r="R9" s="7"/>
      <c r="S9" s="7"/>
      <c r="T9" s="7"/>
      <c r="U9" s="7"/>
      <c r="V9" s="7"/>
      <c r="W9" s="7"/>
      <c r="X9" s="7"/>
    </row>
    <row r="10" spans="1:37" x14ac:dyDescent="0.3">
      <c r="A10" s="6"/>
      <c r="B10" s="6"/>
      <c r="C10" s="6"/>
      <c r="D10" s="7"/>
      <c r="E10" s="7"/>
      <c r="F10" s="7"/>
      <c r="G10" s="7"/>
      <c r="H10" s="7"/>
      <c r="I10" s="7"/>
      <c r="J10" s="7"/>
      <c r="K10" s="7"/>
      <c r="L10" s="7"/>
      <c r="M10" s="7"/>
      <c r="N10" s="7"/>
      <c r="O10" s="7"/>
      <c r="P10" s="7"/>
      <c r="Q10" s="7"/>
      <c r="R10" s="7"/>
      <c r="S10" s="7"/>
      <c r="T10" s="7"/>
      <c r="U10" s="7"/>
      <c r="V10" s="7"/>
      <c r="W10" s="7"/>
      <c r="X10" s="7"/>
    </row>
    <row r="11" spans="1:37" x14ac:dyDescent="0.3">
      <c r="A11" s="6"/>
      <c r="B11" s="6"/>
      <c r="C11" s="6"/>
      <c r="D11" s="7"/>
      <c r="E11" s="7"/>
      <c r="F11" s="7"/>
      <c r="G11" s="7"/>
      <c r="H11" s="7"/>
      <c r="I11" s="7"/>
      <c r="J11" s="7"/>
      <c r="K11" s="7"/>
      <c r="L11" s="7"/>
      <c r="M11" s="7"/>
      <c r="N11" s="7"/>
      <c r="O11" s="7"/>
      <c r="P11" s="7"/>
      <c r="Q11" s="7"/>
      <c r="R11" s="7"/>
      <c r="S11" s="7"/>
      <c r="T11" s="7"/>
      <c r="U11" s="7"/>
      <c r="V11" s="7"/>
      <c r="W11" s="7"/>
      <c r="X11" s="7"/>
    </row>
    <row r="12" spans="1:37" x14ac:dyDescent="0.3">
      <c r="A12" s="6"/>
      <c r="B12" s="6"/>
      <c r="C12" s="6"/>
      <c r="D12" s="7"/>
      <c r="E12" s="7"/>
      <c r="F12" s="7"/>
      <c r="G12" s="7"/>
      <c r="H12" s="7"/>
      <c r="I12" s="7"/>
      <c r="J12" s="7"/>
      <c r="K12" s="7"/>
      <c r="L12" s="7"/>
      <c r="M12" s="7"/>
      <c r="N12" s="7"/>
      <c r="O12" s="7"/>
      <c r="P12" s="7"/>
      <c r="Q12" s="7"/>
      <c r="R12" s="7"/>
      <c r="S12" s="7"/>
      <c r="T12" s="7"/>
      <c r="U12" s="7"/>
      <c r="V12" s="7"/>
      <c r="W12" s="7"/>
      <c r="X12" s="7"/>
    </row>
    <row r="13" spans="1:37" x14ac:dyDescent="0.3">
      <c r="A13" s="6"/>
      <c r="B13" s="6"/>
      <c r="C13" s="6"/>
      <c r="D13" s="7"/>
      <c r="E13" s="7"/>
      <c r="F13" s="7"/>
      <c r="G13" s="7"/>
      <c r="H13" s="7"/>
      <c r="I13" s="7"/>
      <c r="J13" s="7"/>
      <c r="K13" s="7"/>
      <c r="L13" s="7"/>
      <c r="M13" s="7"/>
      <c r="N13" s="7"/>
      <c r="O13" s="7"/>
      <c r="P13" s="7"/>
      <c r="Q13" s="7"/>
      <c r="R13" s="7"/>
      <c r="S13" s="7"/>
      <c r="T13" s="7"/>
      <c r="U13" s="7"/>
      <c r="V13" s="7"/>
      <c r="W13" s="7"/>
      <c r="X13" s="7"/>
    </row>
    <row r="14" spans="1:37" x14ac:dyDescent="0.3">
      <c r="A14" s="6"/>
      <c r="B14" s="6"/>
      <c r="C14" s="6"/>
      <c r="D14" s="7"/>
      <c r="E14" s="7"/>
      <c r="F14" s="7"/>
      <c r="G14" s="7"/>
      <c r="H14" s="7"/>
      <c r="I14" s="7"/>
      <c r="J14" s="7"/>
      <c r="K14" s="7"/>
      <c r="L14" s="7"/>
      <c r="M14" s="7"/>
      <c r="N14" s="7"/>
      <c r="O14" s="7"/>
      <c r="P14" s="7"/>
      <c r="Q14" s="7"/>
      <c r="R14" s="7"/>
      <c r="S14" s="7"/>
      <c r="T14" s="7"/>
      <c r="U14" s="7"/>
      <c r="V14" s="7"/>
      <c r="W14" s="7"/>
      <c r="X14" s="7"/>
    </row>
    <row r="15" spans="1:37" x14ac:dyDescent="0.3">
      <c r="A15" s="6"/>
      <c r="B15" s="6"/>
      <c r="C15" s="6"/>
      <c r="D15" s="7"/>
      <c r="E15" s="7"/>
      <c r="F15" s="7"/>
      <c r="G15" s="7"/>
      <c r="H15" s="7"/>
      <c r="I15" s="7"/>
      <c r="J15" s="7"/>
      <c r="K15" s="7"/>
      <c r="L15" s="7"/>
      <c r="M15" s="7"/>
      <c r="N15" s="7"/>
      <c r="O15" s="7"/>
      <c r="P15" s="7"/>
      <c r="Q15" s="7"/>
      <c r="R15" s="7"/>
      <c r="S15" s="7"/>
      <c r="T15" s="7"/>
      <c r="U15" s="7"/>
      <c r="V15" s="7"/>
      <c r="W15" s="7"/>
      <c r="X15" s="7"/>
    </row>
    <row r="16" spans="1:37" x14ac:dyDescent="0.3">
      <c r="A16" s="6"/>
      <c r="B16" s="6"/>
      <c r="C16" s="6"/>
      <c r="D16" s="7"/>
      <c r="E16" s="7"/>
      <c r="F16" s="7"/>
      <c r="G16" s="7"/>
      <c r="H16" s="7"/>
      <c r="I16" s="7"/>
      <c r="J16" s="7"/>
      <c r="K16" s="7"/>
      <c r="L16" s="7"/>
      <c r="M16" s="7"/>
      <c r="N16" s="7"/>
      <c r="O16" s="7"/>
      <c r="P16" s="7"/>
      <c r="Q16" s="7"/>
      <c r="R16" s="7"/>
      <c r="S16" s="7"/>
      <c r="T16" s="7"/>
      <c r="U16" s="7"/>
      <c r="V16" s="7"/>
      <c r="W16" s="7"/>
      <c r="X16" s="7"/>
    </row>
    <row r="17" spans="1:24" x14ac:dyDescent="0.3">
      <c r="A17" s="6"/>
      <c r="B17" s="6"/>
      <c r="C17" s="6"/>
      <c r="D17" s="7"/>
      <c r="E17" s="7"/>
      <c r="F17" s="7"/>
      <c r="G17" s="7"/>
      <c r="H17" s="7"/>
      <c r="I17" s="7"/>
      <c r="J17" s="7"/>
      <c r="K17" s="7"/>
      <c r="L17" s="7"/>
      <c r="M17" s="7"/>
      <c r="N17" s="7"/>
      <c r="O17" s="7"/>
      <c r="P17" s="7"/>
      <c r="Q17" s="7"/>
      <c r="R17" s="7"/>
      <c r="S17" s="7"/>
      <c r="T17" s="7"/>
      <c r="U17" s="7"/>
      <c r="V17" s="7"/>
      <c r="W17" s="7"/>
      <c r="X17" s="7"/>
    </row>
    <row r="18" spans="1:24" x14ac:dyDescent="0.3">
      <c r="A18" s="6"/>
      <c r="B18" s="6"/>
      <c r="C18" s="6"/>
      <c r="D18" s="7"/>
      <c r="E18" s="7"/>
      <c r="F18" s="7"/>
      <c r="G18" s="7"/>
      <c r="H18" s="7"/>
      <c r="I18" s="7"/>
      <c r="J18" s="7"/>
      <c r="K18" s="7"/>
      <c r="L18" s="7"/>
      <c r="M18" s="7"/>
      <c r="N18" s="7"/>
      <c r="O18" s="7"/>
      <c r="P18" s="7"/>
      <c r="Q18" s="7"/>
      <c r="R18" s="7"/>
      <c r="S18" s="7"/>
      <c r="T18" s="7"/>
      <c r="U18" s="7"/>
      <c r="V18" s="7"/>
      <c r="W18" s="7"/>
      <c r="X18" s="7"/>
    </row>
    <row r="19" spans="1:24" x14ac:dyDescent="0.3">
      <c r="A19" s="6"/>
      <c r="B19" s="6"/>
      <c r="C19" s="6"/>
      <c r="D19" s="7"/>
      <c r="E19" s="7"/>
      <c r="F19" s="7"/>
      <c r="G19" s="7"/>
      <c r="H19" s="7"/>
      <c r="I19" s="7"/>
      <c r="J19" s="7"/>
      <c r="K19" s="7"/>
      <c r="L19" s="7"/>
      <c r="M19" s="7"/>
      <c r="N19" s="7"/>
      <c r="O19" s="7"/>
      <c r="P19" s="7"/>
      <c r="Q19" s="7"/>
      <c r="R19" s="7"/>
      <c r="S19" s="7"/>
      <c r="T19" s="7"/>
      <c r="U19" s="7"/>
      <c r="V19" s="7"/>
      <c r="W19" s="7"/>
      <c r="X19" s="7"/>
    </row>
    <row r="20" spans="1:24" x14ac:dyDescent="0.3">
      <c r="A20" s="6"/>
      <c r="B20" s="6"/>
      <c r="C20" s="6"/>
      <c r="D20" s="7"/>
      <c r="E20" s="7"/>
      <c r="F20" s="7"/>
      <c r="G20" s="7"/>
      <c r="H20" s="7"/>
      <c r="I20" s="7"/>
      <c r="J20" s="7"/>
      <c r="K20" s="7"/>
      <c r="L20" s="7"/>
      <c r="M20" s="7"/>
      <c r="N20" s="7"/>
      <c r="O20" s="7"/>
      <c r="P20" s="7"/>
      <c r="Q20" s="7"/>
      <c r="R20" s="7"/>
      <c r="S20" s="7"/>
      <c r="T20" s="7"/>
      <c r="U20" s="7"/>
      <c r="V20" s="7"/>
      <c r="W20" s="7"/>
      <c r="X20" s="7"/>
    </row>
    <row r="21" spans="1:24" x14ac:dyDescent="0.3">
      <c r="A21" s="6"/>
      <c r="B21" s="6"/>
      <c r="C21" s="6"/>
      <c r="D21" s="7"/>
      <c r="E21" s="7"/>
      <c r="F21" s="7"/>
      <c r="G21" s="7"/>
      <c r="H21" s="7"/>
      <c r="I21" s="7"/>
      <c r="J21" s="7"/>
      <c r="K21" s="7"/>
      <c r="L21" s="7"/>
      <c r="M21" s="7"/>
      <c r="N21" s="7"/>
      <c r="O21" s="7"/>
      <c r="P21" s="7"/>
      <c r="Q21" s="7"/>
      <c r="R21" s="7"/>
      <c r="S21" s="7"/>
      <c r="T21" s="7"/>
      <c r="U21" s="7"/>
      <c r="V21" s="7"/>
      <c r="W21" s="7"/>
      <c r="X21" s="7"/>
    </row>
    <row r="22" spans="1:24" x14ac:dyDescent="0.3">
      <c r="A22" s="6"/>
      <c r="B22" s="6"/>
      <c r="C22" s="6"/>
      <c r="D22" s="7"/>
      <c r="E22" s="7"/>
      <c r="F22" s="7"/>
      <c r="G22" s="7"/>
      <c r="H22" s="7"/>
      <c r="I22" s="7"/>
      <c r="J22" s="7"/>
      <c r="K22" s="7"/>
      <c r="L22" s="7"/>
      <c r="M22" s="7"/>
      <c r="N22" s="7"/>
      <c r="O22" s="7"/>
      <c r="P22" s="7"/>
      <c r="Q22" s="7"/>
      <c r="R22" s="7"/>
      <c r="S22" s="7"/>
      <c r="T22" s="7"/>
      <c r="U22" s="7"/>
      <c r="V22" s="7"/>
      <c r="W22" s="7"/>
      <c r="X22" s="7"/>
    </row>
    <row r="23" spans="1:24" x14ac:dyDescent="0.3">
      <c r="A23" s="6"/>
      <c r="B23" s="6"/>
      <c r="C23" s="6"/>
      <c r="D23" s="7"/>
      <c r="E23" s="7"/>
      <c r="F23" s="7"/>
      <c r="G23" s="7"/>
      <c r="H23" s="7"/>
      <c r="I23" s="7"/>
      <c r="J23" s="7"/>
      <c r="K23" s="7"/>
      <c r="L23" s="7"/>
      <c r="M23" s="7"/>
      <c r="N23" s="7"/>
      <c r="O23" s="7"/>
      <c r="P23" s="7"/>
      <c r="Q23" s="7"/>
      <c r="R23" s="7"/>
      <c r="S23" s="7"/>
      <c r="T23" s="7"/>
      <c r="U23" s="7"/>
      <c r="V23" s="7"/>
      <c r="W23" s="7"/>
      <c r="X23" s="7"/>
    </row>
    <row r="24" spans="1:24" x14ac:dyDescent="0.3">
      <c r="A24" s="6"/>
      <c r="B24" s="6"/>
      <c r="C24" s="6"/>
      <c r="D24" s="7"/>
      <c r="E24" s="7"/>
      <c r="F24" s="7"/>
      <c r="G24" s="7"/>
      <c r="H24" s="7"/>
      <c r="I24" s="7"/>
      <c r="J24" s="7"/>
      <c r="K24" s="7"/>
      <c r="L24" s="7"/>
      <c r="M24" s="7"/>
      <c r="N24" s="7"/>
      <c r="O24" s="7"/>
      <c r="P24" s="7"/>
      <c r="Q24" s="7"/>
      <c r="R24" s="7"/>
      <c r="S24" s="7"/>
      <c r="T24" s="7"/>
      <c r="U24" s="7"/>
      <c r="V24" s="7"/>
      <c r="W24" s="7"/>
      <c r="X24" s="7"/>
    </row>
    <row r="25" spans="1:24" x14ac:dyDescent="0.3">
      <c r="A25" s="6"/>
      <c r="B25" s="6"/>
      <c r="C25" s="6"/>
      <c r="D25" s="7"/>
      <c r="E25" s="7"/>
      <c r="F25" s="7"/>
      <c r="G25" s="7"/>
      <c r="H25" s="7"/>
      <c r="I25" s="7"/>
      <c r="J25" s="7"/>
      <c r="K25" s="7"/>
      <c r="L25" s="7"/>
      <c r="M25" s="7"/>
      <c r="N25" s="7"/>
      <c r="O25" s="7"/>
      <c r="P25" s="7"/>
      <c r="Q25" s="7"/>
      <c r="R25" s="7"/>
      <c r="S25" s="7"/>
      <c r="T25" s="7"/>
      <c r="U25" s="7"/>
      <c r="V25" s="7"/>
      <c r="W25" s="7"/>
      <c r="X25" s="7"/>
    </row>
    <row r="26" spans="1:24" x14ac:dyDescent="0.3">
      <c r="A26" s="6"/>
      <c r="B26" s="6"/>
      <c r="C26" s="6"/>
      <c r="D26" s="7"/>
      <c r="E26" s="7"/>
      <c r="F26" s="7"/>
      <c r="G26" s="7"/>
      <c r="H26" s="7"/>
      <c r="I26" s="7"/>
      <c r="J26" s="7"/>
      <c r="K26" s="7"/>
      <c r="L26" s="7"/>
      <c r="M26" s="7"/>
      <c r="N26" s="7"/>
      <c r="O26" s="7"/>
      <c r="P26" s="7"/>
      <c r="Q26" s="7"/>
      <c r="R26" s="7"/>
      <c r="S26" s="7"/>
      <c r="T26" s="7"/>
      <c r="U26" s="7"/>
      <c r="V26" s="7"/>
      <c r="W26" s="7"/>
      <c r="X26" s="7"/>
    </row>
    <row r="27" spans="1:24" x14ac:dyDescent="0.3">
      <c r="A27" s="6"/>
      <c r="B27" s="6"/>
      <c r="C27" s="6"/>
      <c r="D27" s="7"/>
      <c r="E27" s="7"/>
      <c r="F27" s="7"/>
      <c r="G27" s="7"/>
      <c r="H27" s="7"/>
      <c r="I27" s="7"/>
      <c r="J27" s="7"/>
      <c r="K27" s="7"/>
      <c r="L27" s="7"/>
      <c r="M27" s="7"/>
      <c r="N27" s="7"/>
      <c r="O27" s="7"/>
      <c r="P27" s="7"/>
      <c r="Q27" s="7"/>
      <c r="R27" s="7"/>
      <c r="S27" s="7"/>
      <c r="T27" s="7"/>
      <c r="U27" s="7"/>
      <c r="V27" s="7"/>
      <c r="W27" s="7"/>
      <c r="X27" s="7"/>
    </row>
    <row r="28" spans="1:24" x14ac:dyDescent="0.3">
      <c r="A28" s="6"/>
      <c r="B28" s="6"/>
      <c r="C28" s="6"/>
      <c r="D28" s="7"/>
      <c r="E28" s="7"/>
      <c r="F28" s="7"/>
      <c r="G28" s="7"/>
      <c r="H28" s="7"/>
      <c r="I28" s="7"/>
      <c r="J28" s="7"/>
      <c r="K28" s="7"/>
      <c r="L28" s="7"/>
      <c r="M28" s="7"/>
      <c r="N28" s="7"/>
      <c r="O28" s="7"/>
      <c r="P28" s="7"/>
      <c r="Q28" s="7"/>
      <c r="R28" s="7"/>
      <c r="S28" s="7"/>
      <c r="T28" s="7"/>
      <c r="U28" s="7"/>
      <c r="V28" s="7"/>
      <c r="W28" s="7"/>
      <c r="X28" s="7"/>
    </row>
  </sheetData>
  <mergeCells count="1">
    <mergeCell ref="D1:U3"/>
  </mergeCells>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404F4-3F8A-4743-8417-8AA8E2E4C72A}">
  <dimension ref="A1:Q1001"/>
  <sheetViews>
    <sheetView workbookViewId="0">
      <selection activeCell="E6" sqref="A1:Q1001"/>
    </sheetView>
  </sheetViews>
  <sheetFormatPr defaultRowHeight="14.4" x14ac:dyDescent="0.3"/>
  <cols>
    <col min="3" max="3" width="11.33203125" customWidth="1"/>
    <col min="6" max="6" width="19.44140625" customWidth="1"/>
    <col min="13" max="13" width="12.109375" customWidth="1"/>
    <col min="15" max="15" width="22.44140625" customWidth="1"/>
    <col min="16" max="16" width="14"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s="1">
        <v>43492</v>
      </c>
      <c r="L5" s="2">
        <v>0.85624999999999996</v>
      </c>
      <c r="M5" t="s">
        <v>23</v>
      </c>
      <c r="N5">
        <v>465.76</v>
      </c>
      <c r="O5">
        <v>4.7619047620000003</v>
      </c>
      <c r="P5">
        <v>23.288</v>
      </c>
      <c r="Q5">
        <v>8.4</v>
      </c>
    </row>
    <row r="6" spans="1:17" x14ac:dyDescent="0.3">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v>4.7619047620000003</v>
      </c>
      <c r="P6">
        <v>30.208500000000001</v>
      </c>
      <c r="Q6">
        <v>5.3</v>
      </c>
    </row>
    <row r="7" spans="1:17" x14ac:dyDescent="0.3">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v>4.0999999999999996</v>
      </c>
    </row>
    <row r="8" spans="1:17" x14ac:dyDescent="0.3">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v>5.8</v>
      </c>
    </row>
    <row r="9" spans="1:17" x14ac:dyDescent="0.3">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v>8</v>
      </c>
    </row>
    <row r="10" spans="1:17" x14ac:dyDescent="0.3">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v>7.2</v>
      </c>
    </row>
    <row r="11" spans="1:17" x14ac:dyDescent="0.3">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v>5.9</v>
      </c>
    </row>
    <row r="12" spans="1:17" x14ac:dyDescent="0.3">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v>4.5</v>
      </c>
    </row>
    <row r="13" spans="1:17" x14ac:dyDescent="0.3">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v>6.8</v>
      </c>
    </row>
    <row r="14" spans="1:17" x14ac:dyDescent="0.3">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v>4.7619047620000003</v>
      </c>
      <c r="P14">
        <v>11.737500000000001</v>
      </c>
      <c r="Q14">
        <v>7.1</v>
      </c>
    </row>
    <row r="15" spans="1:17" x14ac:dyDescent="0.3">
      <c r="A15" t="s">
        <v>49</v>
      </c>
      <c r="B15" t="s">
        <v>18</v>
      </c>
      <c r="C15" t="s">
        <v>19</v>
      </c>
      <c r="D15" t="s">
        <v>27</v>
      </c>
      <c r="E15" t="s">
        <v>31</v>
      </c>
      <c r="F15" t="s">
        <v>44</v>
      </c>
      <c r="G15">
        <v>43.19</v>
      </c>
      <c r="H15">
        <v>10</v>
      </c>
      <c r="I15">
        <v>21.594999999999999</v>
      </c>
      <c r="J15">
        <v>453.495</v>
      </c>
      <c r="K15" s="1">
        <v>43503</v>
      </c>
      <c r="L15" s="2">
        <v>0.7</v>
      </c>
      <c r="M15" t="s">
        <v>23</v>
      </c>
      <c r="N15">
        <v>431.9</v>
      </c>
      <c r="O15">
        <v>4.7619047620000003</v>
      </c>
      <c r="P15">
        <v>21.594999999999999</v>
      </c>
      <c r="Q15">
        <v>8.1999999999999993</v>
      </c>
    </row>
    <row r="16" spans="1:17" x14ac:dyDescent="0.3">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v>5.7</v>
      </c>
    </row>
    <row r="17" spans="1:17" x14ac:dyDescent="0.3">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v>4.5</v>
      </c>
    </row>
    <row r="18" spans="1:17" x14ac:dyDescent="0.3">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v>4.7619047620000003</v>
      </c>
      <c r="P18">
        <v>24.125499999999999</v>
      </c>
      <c r="Q18">
        <v>4.5999999999999996</v>
      </c>
    </row>
    <row r="19" spans="1:17" x14ac:dyDescent="0.3">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v>8.6</v>
      </c>
    </row>
    <row r="21" spans="1:17" x14ac:dyDescent="0.3">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v>4.4000000000000004</v>
      </c>
    </row>
    <row r="22" spans="1:17" x14ac:dyDescent="0.3">
      <c r="A22" t="s">
        <v>56</v>
      </c>
      <c r="B22" t="s">
        <v>25</v>
      </c>
      <c r="C22" t="s">
        <v>26</v>
      </c>
      <c r="D22" t="s">
        <v>20</v>
      </c>
      <c r="E22" t="s">
        <v>31</v>
      </c>
      <c r="F22" t="s">
        <v>28</v>
      </c>
      <c r="G22">
        <v>86.04</v>
      </c>
      <c r="H22">
        <v>5</v>
      </c>
      <c r="I22">
        <v>21.51</v>
      </c>
      <c r="J22">
        <v>451.71</v>
      </c>
      <c r="K22" s="1">
        <v>43521</v>
      </c>
      <c r="L22" s="2">
        <v>0.47499999999999998</v>
      </c>
      <c r="M22" t="s">
        <v>23</v>
      </c>
      <c r="N22">
        <v>430.2</v>
      </c>
      <c r="O22">
        <v>4.7619047620000003</v>
      </c>
      <c r="P22">
        <v>21.51</v>
      </c>
      <c r="Q22">
        <v>4.8</v>
      </c>
    </row>
    <row r="23" spans="1:17" x14ac:dyDescent="0.3">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v>5.0999999999999996</v>
      </c>
    </row>
    <row r="24" spans="1:17" x14ac:dyDescent="0.3">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v>4.7619047620000003</v>
      </c>
      <c r="P24">
        <v>3.32</v>
      </c>
      <c r="Q24">
        <v>4.4000000000000004</v>
      </c>
    </row>
    <row r="25" spans="1:17" x14ac:dyDescent="0.3">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v>9.9</v>
      </c>
    </row>
    <row r="26" spans="1:17" x14ac:dyDescent="0.3">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v>4.7619047620000003</v>
      </c>
      <c r="P26">
        <v>13.294499999999999</v>
      </c>
      <c r="Q26">
        <v>6</v>
      </c>
    </row>
    <row r="27" spans="1:17" x14ac:dyDescent="0.3">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v>4.7619047620000003</v>
      </c>
      <c r="P27">
        <v>21.036000000000001</v>
      </c>
      <c r="Q27">
        <v>8.5</v>
      </c>
    </row>
    <row r="28" spans="1:17" x14ac:dyDescent="0.3">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v>6.7</v>
      </c>
    </row>
    <row r="29" spans="1:17" x14ac:dyDescent="0.3">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v>7.7</v>
      </c>
    </row>
    <row r="30" spans="1:17" x14ac:dyDescent="0.3">
      <c r="A30" t="s">
        <v>64</v>
      </c>
      <c r="B30" t="s">
        <v>42</v>
      </c>
      <c r="C30" t="s">
        <v>43</v>
      </c>
      <c r="D30" t="s">
        <v>27</v>
      </c>
      <c r="E30" t="s">
        <v>21</v>
      </c>
      <c r="F30" t="s">
        <v>44</v>
      </c>
      <c r="G30">
        <v>88.36</v>
      </c>
      <c r="H30">
        <v>5</v>
      </c>
      <c r="I30">
        <v>22.09</v>
      </c>
      <c r="J30">
        <v>463.89</v>
      </c>
      <c r="K30" s="1">
        <v>43490</v>
      </c>
      <c r="L30" s="2">
        <v>0.82499999999999996</v>
      </c>
      <c r="M30" t="s">
        <v>29</v>
      </c>
      <c r="N30">
        <v>441.8</v>
      </c>
      <c r="O30">
        <v>4.7619047620000003</v>
      </c>
      <c r="P30">
        <v>22.09</v>
      </c>
      <c r="Q30">
        <v>9.6</v>
      </c>
    </row>
    <row r="31" spans="1:17" x14ac:dyDescent="0.3">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v>7.4</v>
      </c>
    </row>
    <row r="32" spans="1:17" x14ac:dyDescent="0.3">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v>4.8</v>
      </c>
    </row>
    <row r="33" spans="1:17" x14ac:dyDescent="0.3">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v>4.5</v>
      </c>
    </row>
    <row r="34" spans="1:17" x14ac:dyDescent="0.3">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v>5.0999999999999996</v>
      </c>
    </row>
    <row r="35" spans="1:17" x14ac:dyDescent="0.3">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v>5.0999999999999996</v>
      </c>
    </row>
    <row r="36" spans="1:17" x14ac:dyDescent="0.3">
      <c r="A36" t="s">
        <v>70</v>
      </c>
      <c r="B36" t="s">
        <v>25</v>
      </c>
      <c r="C36" t="s">
        <v>26</v>
      </c>
      <c r="D36" t="s">
        <v>20</v>
      </c>
      <c r="E36" t="s">
        <v>21</v>
      </c>
      <c r="F36" t="s">
        <v>44</v>
      </c>
      <c r="G36">
        <v>99.42</v>
      </c>
      <c r="H36">
        <v>4</v>
      </c>
      <c r="I36">
        <v>19.884</v>
      </c>
      <c r="J36">
        <v>417.56400000000002</v>
      </c>
      <c r="K36" s="1">
        <v>43502</v>
      </c>
      <c r="L36" s="2">
        <v>0.44583333333333336</v>
      </c>
      <c r="M36" t="s">
        <v>23</v>
      </c>
      <c r="N36">
        <v>397.68</v>
      </c>
      <c r="O36">
        <v>4.7619047620000003</v>
      </c>
      <c r="P36">
        <v>19.884</v>
      </c>
      <c r="Q36">
        <v>7.5</v>
      </c>
    </row>
    <row r="37" spans="1:17" x14ac:dyDescent="0.3">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v>6.8</v>
      </c>
    </row>
    <row r="38" spans="1:17" x14ac:dyDescent="0.3">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v>7</v>
      </c>
    </row>
    <row r="39" spans="1:17" x14ac:dyDescent="0.3">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v>4.7</v>
      </c>
    </row>
    <row r="40" spans="1:17" x14ac:dyDescent="0.3">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v>7.6</v>
      </c>
    </row>
    <row r="41" spans="1:17" x14ac:dyDescent="0.3">
      <c r="A41" t="s">
        <v>75</v>
      </c>
      <c r="B41" t="s">
        <v>42</v>
      </c>
      <c r="C41" t="s">
        <v>43</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v>7.9</v>
      </c>
    </row>
    <row r="43" spans="1:17" x14ac:dyDescent="0.3">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v>5.6</v>
      </c>
    </row>
    <row r="45" spans="1:17" x14ac:dyDescent="0.3">
      <c r="A45" t="s">
        <v>79</v>
      </c>
      <c r="B45" t="s">
        <v>25</v>
      </c>
      <c r="C45" t="s">
        <v>26</v>
      </c>
      <c r="D45" t="s">
        <v>20</v>
      </c>
      <c r="E45" t="s">
        <v>21</v>
      </c>
      <c r="F45" t="s">
        <v>44</v>
      </c>
      <c r="G45">
        <v>98.7</v>
      </c>
      <c r="H45">
        <v>8</v>
      </c>
      <c r="I45">
        <v>39.479999999999997</v>
      </c>
      <c r="J45">
        <v>829.08</v>
      </c>
      <c r="K45" s="1">
        <v>43528</v>
      </c>
      <c r="L45" s="2">
        <v>0.86041666666666672</v>
      </c>
      <c r="M45" t="s">
        <v>29</v>
      </c>
      <c r="N45">
        <v>789.6</v>
      </c>
      <c r="O45">
        <v>4.7619047620000003</v>
      </c>
      <c r="P45">
        <v>39.479999999999997</v>
      </c>
      <c r="Q45">
        <v>7.6</v>
      </c>
    </row>
    <row r="46" spans="1:17" x14ac:dyDescent="0.3">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v>4.7619047620000003</v>
      </c>
      <c r="P46">
        <v>1.5369999999999999</v>
      </c>
      <c r="Q46">
        <v>7.2</v>
      </c>
    </row>
    <row r="47" spans="1:17" x14ac:dyDescent="0.3">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v>9.5</v>
      </c>
    </row>
    <row r="48" spans="1:17" x14ac:dyDescent="0.3">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v>8.4</v>
      </c>
    </row>
    <row r="49" spans="1:17" x14ac:dyDescent="0.3">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v>4.0999999999999996</v>
      </c>
    </row>
    <row r="50" spans="1:17" x14ac:dyDescent="0.3">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v>8.1</v>
      </c>
    </row>
    <row r="51" spans="1:17" x14ac:dyDescent="0.3">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v>7.9</v>
      </c>
    </row>
    <row r="52" spans="1:17" x14ac:dyDescent="0.3">
      <c r="A52" t="s">
        <v>86</v>
      </c>
      <c r="B52" t="s">
        <v>25</v>
      </c>
      <c r="C52" t="s">
        <v>26</v>
      </c>
      <c r="D52" t="s">
        <v>20</v>
      </c>
      <c r="E52" t="s">
        <v>31</v>
      </c>
      <c r="F52" t="s">
        <v>44</v>
      </c>
      <c r="G52">
        <v>91.4</v>
      </c>
      <c r="H52">
        <v>7</v>
      </c>
      <c r="I52">
        <v>31.99</v>
      </c>
      <c r="J52">
        <v>671.79</v>
      </c>
      <c r="K52" s="1">
        <v>43499</v>
      </c>
      <c r="L52" s="2">
        <v>0.42986111111111114</v>
      </c>
      <c r="M52" t="s">
        <v>29</v>
      </c>
      <c r="N52">
        <v>639.79999999999995</v>
      </c>
      <c r="O52">
        <v>4.7619047620000003</v>
      </c>
      <c r="P52">
        <v>31.99</v>
      </c>
      <c r="Q52">
        <v>9.5</v>
      </c>
    </row>
    <row r="53" spans="1:17" x14ac:dyDescent="0.3">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v>8.5</v>
      </c>
    </row>
    <row r="54" spans="1:17" x14ac:dyDescent="0.3">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v>4.7619047620000003</v>
      </c>
      <c r="P54">
        <v>3.5739999999999998</v>
      </c>
      <c r="Q54">
        <v>6.5</v>
      </c>
    </row>
    <row r="55" spans="1:17" x14ac:dyDescent="0.3">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v>6.1</v>
      </c>
    </row>
    <row r="56" spans="1:17" x14ac:dyDescent="0.3">
      <c r="A56" t="s">
        <v>90</v>
      </c>
      <c r="B56" t="s">
        <v>42</v>
      </c>
      <c r="C56" t="s">
        <v>43</v>
      </c>
      <c r="D56" t="s">
        <v>27</v>
      </c>
      <c r="E56" t="s">
        <v>31</v>
      </c>
      <c r="F56" t="s">
        <v>32</v>
      </c>
      <c r="G56">
        <v>16.16</v>
      </c>
      <c r="H56">
        <v>2</v>
      </c>
      <c r="I56">
        <v>1.6160000000000001</v>
      </c>
      <c r="J56">
        <v>33.936</v>
      </c>
      <c r="K56" s="1">
        <v>43531</v>
      </c>
      <c r="L56" s="2">
        <v>0.49236111111111114</v>
      </c>
      <c r="M56" t="s">
        <v>23</v>
      </c>
      <c r="N56">
        <v>32.32</v>
      </c>
      <c r="O56">
        <v>4.7619047620000003</v>
      </c>
      <c r="P56">
        <v>1.6160000000000001</v>
      </c>
      <c r="Q56">
        <v>6.5</v>
      </c>
    </row>
    <row r="57" spans="1:17" x14ac:dyDescent="0.3">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v>8.1999999999999993</v>
      </c>
    </row>
    <row r="58" spans="1:17" x14ac:dyDescent="0.3">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v>4.7619047620000003</v>
      </c>
      <c r="P58">
        <v>4.4340000000000002</v>
      </c>
      <c r="Q58">
        <v>5.8</v>
      </c>
    </row>
    <row r="59" spans="1:17" x14ac:dyDescent="0.3">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v>6.6</v>
      </c>
    </row>
    <row r="60" spans="1:17" x14ac:dyDescent="0.3">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v>5.4</v>
      </c>
    </row>
    <row r="61" spans="1:17" x14ac:dyDescent="0.3">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v>4.7619047620000003</v>
      </c>
      <c r="P61">
        <v>9.1829999999999998</v>
      </c>
      <c r="Q61">
        <v>9.3000000000000007</v>
      </c>
    </row>
    <row r="62" spans="1:17" x14ac:dyDescent="0.3">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v>10</v>
      </c>
    </row>
    <row r="63" spans="1:17" x14ac:dyDescent="0.3">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v>7</v>
      </c>
    </row>
    <row r="64" spans="1:17" x14ac:dyDescent="0.3">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v>10</v>
      </c>
    </row>
    <row r="65" spans="1:17" x14ac:dyDescent="0.3">
      <c r="A65" t="s">
        <v>99</v>
      </c>
      <c r="B65" t="s">
        <v>18</v>
      </c>
      <c r="C65" t="s">
        <v>19</v>
      </c>
      <c r="D65" t="s">
        <v>20</v>
      </c>
      <c r="E65" t="s">
        <v>31</v>
      </c>
      <c r="F65" t="s">
        <v>36</v>
      </c>
      <c r="G65">
        <v>15.81</v>
      </c>
      <c r="H65">
        <v>10</v>
      </c>
      <c r="I65">
        <v>7.9050000000000002</v>
      </c>
      <c r="J65">
        <v>166.005</v>
      </c>
      <c r="K65" s="1">
        <v>43530</v>
      </c>
      <c r="L65" s="2">
        <v>0.51875000000000004</v>
      </c>
      <c r="M65" t="s">
        <v>33</v>
      </c>
      <c r="N65">
        <v>158.1</v>
      </c>
      <c r="O65">
        <v>4.7619047620000003</v>
      </c>
      <c r="P65">
        <v>7.9050000000000002</v>
      </c>
      <c r="Q65">
        <v>8.6</v>
      </c>
    </row>
    <row r="66" spans="1:17" x14ac:dyDescent="0.3">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v>4.7619047620000003</v>
      </c>
      <c r="P66">
        <v>15.148</v>
      </c>
      <c r="Q66">
        <v>7.6</v>
      </c>
    </row>
    <row r="67" spans="1:17" x14ac:dyDescent="0.3">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v>4.7619047620000003</v>
      </c>
      <c r="P67">
        <v>7.9349999999999996</v>
      </c>
      <c r="Q67">
        <v>5.8</v>
      </c>
    </row>
    <row r="68" spans="1:17" x14ac:dyDescent="0.3">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v>6.7</v>
      </c>
    </row>
    <row r="69" spans="1:17" x14ac:dyDescent="0.3">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v>9.9</v>
      </c>
    </row>
    <row r="70" spans="1:17" x14ac:dyDescent="0.3">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v>6.4</v>
      </c>
    </row>
    <row r="71" spans="1:17" x14ac:dyDescent="0.3">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v>9.6</v>
      </c>
    </row>
    <row r="73" spans="1:17" x14ac:dyDescent="0.3">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v>5.9</v>
      </c>
    </row>
    <row r="74" spans="1:17" x14ac:dyDescent="0.3">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v>4.7619047620000003</v>
      </c>
      <c r="P74">
        <v>7.2779999999999996</v>
      </c>
      <c r="Q74">
        <v>4</v>
      </c>
    </row>
    <row r="75" spans="1:17" x14ac:dyDescent="0.3">
      <c r="A75" t="s">
        <v>109</v>
      </c>
      <c r="B75" t="s">
        <v>25</v>
      </c>
      <c r="C75" t="s">
        <v>26</v>
      </c>
      <c r="D75" t="s">
        <v>27</v>
      </c>
      <c r="E75" t="s">
        <v>21</v>
      </c>
      <c r="F75" t="s">
        <v>28</v>
      </c>
      <c r="G75">
        <v>75.91</v>
      </c>
      <c r="H75">
        <v>6</v>
      </c>
      <c r="I75">
        <v>22.773</v>
      </c>
      <c r="J75">
        <v>478.233</v>
      </c>
      <c r="K75" s="1">
        <v>43533</v>
      </c>
      <c r="L75" s="2">
        <v>0.76458333333333328</v>
      </c>
      <c r="M75" t="s">
        <v>29</v>
      </c>
      <c r="N75">
        <v>455.46</v>
      </c>
      <c r="O75">
        <v>4.7619047620000003</v>
      </c>
      <c r="P75">
        <v>22.773</v>
      </c>
      <c r="Q75">
        <v>8.6999999999999993</v>
      </c>
    </row>
    <row r="76" spans="1:17" x14ac:dyDescent="0.3">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v>9.4</v>
      </c>
    </row>
    <row r="77" spans="1:17" x14ac:dyDescent="0.3">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v>5.4</v>
      </c>
    </row>
    <row r="78" spans="1:17" x14ac:dyDescent="0.3">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v>8.6</v>
      </c>
    </row>
    <row r="79" spans="1:17" x14ac:dyDescent="0.3">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v>5.7</v>
      </c>
    </row>
    <row r="80" spans="1:17" x14ac:dyDescent="0.3">
      <c r="A80" t="s">
        <v>114</v>
      </c>
      <c r="B80" t="s">
        <v>25</v>
      </c>
      <c r="C80" t="s">
        <v>26</v>
      </c>
      <c r="D80" t="s">
        <v>20</v>
      </c>
      <c r="E80" t="s">
        <v>21</v>
      </c>
      <c r="F80" t="s">
        <v>44</v>
      </c>
      <c r="G80">
        <v>78.31</v>
      </c>
      <c r="H80">
        <v>10</v>
      </c>
      <c r="I80">
        <v>39.155000000000001</v>
      </c>
      <c r="J80">
        <v>822.255</v>
      </c>
      <c r="K80" s="1">
        <v>43529</v>
      </c>
      <c r="L80" s="2">
        <v>0.68333333333333335</v>
      </c>
      <c r="M80" t="s">
        <v>23</v>
      </c>
      <c r="N80">
        <v>783.1</v>
      </c>
      <c r="O80">
        <v>4.7619047620000003</v>
      </c>
      <c r="P80">
        <v>39.155000000000001</v>
      </c>
      <c r="Q80">
        <v>6.6</v>
      </c>
    </row>
    <row r="81" spans="1:17" x14ac:dyDescent="0.3">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v>6</v>
      </c>
    </row>
    <row r="82" spans="1:17" x14ac:dyDescent="0.3">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v>4.7619047620000003</v>
      </c>
      <c r="P82">
        <v>29.757000000000001</v>
      </c>
      <c r="Q82">
        <v>5.5</v>
      </c>
    </row>
    <row r="83" spans="1:17" x14ac:dyDescent="0.3">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v>6.4</v>
      </c>
    </row>
    <row r="84" spans="1:17" x14ac:dyDescent="0.3">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v>6.6</v>
      </c>
    </row>
    <row r="85" spans="1:17" x14ac:dyDescent="0.3">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v>8.3000000000000007</v>
      </c>
    </row>
    <row r="86" spans="1:17" x14ac:dyDescent="0.3">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v>6.6</v>
      </c>
    </row>
    <row r="87" spans="1:17" x14ac:dyDescent="0.3">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v>4</v>
      </c>
    </row>
    <row r="88" spans="1:17" x14ac:dyDescent="0.3">
      <c r="A88" t="s">
        <v>122</v>
      </c>
      <c r="B88" t="s">
        <v>25</v>
      </c>
      <c r="C88" t="s">
        <v>26</v>
      </c>
      <c r="D88" t="s">
        <v>27</v>
      </c>
      <c r="E88" t="s">
        <v>31</v>
      </c>
      <c r="F88" t="s">
        <v>46</v>
      </c>
      <c r="G88">
        <v>76.52</v>
      </c>
      <c r="H88">
        <v>5</v>
      </c>
      <c r="I88">
        <v>19.13</v>
      </c>
      <c r="J88">
        <v>401.73</v>
      </c>
      <c r="K88" s="1">
        <v>43549</v>
      </c>
      <c r="L88" s="2">
        <v>0.43263888888888891</v>
      </c>
      <c r="M88" t="s">
        <v>29</v>
      </c>
      <c r="N88">
        <v>382.6</v>
      </c>
      <c r="O88">
        <v>4.7619047620000003</v>
      </c>
      <c r="P88">
        <v>19.13</v>
      </c>
      <c r="Q88">
        <v>9.9</v>
      </c>
    </row>
    <row r="89" spans="1:17" x14ac:dyDescent="0.3">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v>7.3</v>
      </c>
    </row>
    <row r="90" spans="1:17" x14ac:dyDescent="0.3">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v>4.7619047620000003</v>
      </c>
      <c r="P90">
        <v>2.1234999999999999</v>
      </c>
      <c r="Q90">
        <v>5.7</v>
      </c>
    </row>
    <row r="91" spans="1:17" x14ac:dyDescent="0.3">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v>6.1</v>
      </c>
    </row>
    <row r="92" spans="1:17" x14ac:dyDescent="0.3">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v>4.7619047620000003</v>
      </c>
      <c r="P92">
        <v>9.4760000000000009</v>
      </c>
      <c r="Q92">
        <v>7.1</v>
      </c>
    </row>
    <row r="93" spans="1:17" x14ac:dyDescent="0.3">
      <c r="A93" t="s">
        <v>127</v>
      </c>
      <c r="B93" t="s">
        <v>25</v>
      </c>
      <c r="C93" t="s">
        <v>26</v>
      </c>
      <c r="D93" t="s">
        <v>27</v>
      </c>
      <c r="E93" t="s">
        <v>21</v>
      </c>
      <c r="F93" t="s">
        <v>36</v>
      </c>
      <c r="G93">
        <v>44.86</v>
      </c>
      <c r="H93">
        <v>10</v>
      </c>
      <c r="I93">
        <v>22.43</v>
      </c>
      <c r="J93">
        <v>471.03</v>
      </c>
      <c r="K93" s="1">
        <v>43491</v>
      </c>
      <c r="L93" s="2">
        <v>0.82916666666666672</v>
      </c>
      <c r="M93" t="s">
        <v>23</v>
      </c>
      <c r="N93">
        <v>448.6</v>
      </c>
      <c r="O93">
        <v>4.7619047620000003</v>
      </c>
      <c r="P93">
        <v>22.43</v>
      </c>
      <c r="Q93">
        <v>8.1999999999999993</v>
      </c>
    </row>
    <row r="94" spans="1:17" x14ac:dyDescent="0.3">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v>5.0999999999999996</v>
      </c>
    </row>
    <row r="95" spans="1:17" x14ac:dyDescent="0.3">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v>8.6</v>
      </c>
    </row>
    <row r="96" spans="1:17" x14ac:dyDescent="0.3">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v>4.7619047620000003</v>
      </c>
      <c r="P96">
        <v>4.4874999999999998</v>
      </c>
      <c r="Q96">
        <v>6.6</v>
      </c>
    </row>
    <row r="97" spans="1:17" x14ac:dyDescent="0.3">
      <c r="A97" t="s">
        <v>131</v>
      </c>
      <c r="B97" t="s">
        <v>18</v>
      </c>
      <c r="C97" t="s">
        <v>19</v>
      </c>
      <c r="D97" t="s">
        <v>27</v>
      </c>
      <c r="E97" t="s">
        <v>31</v>
      </c>
      <c r="F97" t="s">
        <v>28</v>
      </c>
      <c r="G97">
        <v>97.16</v>
      </c>
      <c r="H97">
        <v>1</v>
      </c>
      <c r="I97">
        <v>4.8579999999999997</v>
      </c>
      <c r="J97">
        <v>102.018</v>
      </c>
      <c r="K97" s="1">
        <v>43532</v>
      </c>
      <c r="L97" s="2">
        <v>0.85972222222222228</v>
      </c>
      <c r="M97" t="s">
        <v>23</v>
      </c>
      <c r="N97">
        <v>97.16</v>
      </c>
      <c r="O97">
        <v>4.7619047620000003</v>
      </c>
      <c r="P97">
        <v>4.8579999999999997</v>
      </c>
      <c r="Q97">
        <v>7.2</v>
      </c>
    </row>
    <row r="98" spans="1:17" x14ac:dyDescent="0.3">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v>4.7619047620000003</v>
      </c>
      <c r="P98">
        <v>43.935000000000002</v>
      </c>
      <c r="Q98">
        <v>5.0999999999999996</v>
      </c>
    </row>
    <row r="99" spans="1:17" x14ac:dyDescent="0.3">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v>4.0999999999999996</v>
      </c>
    </row>
    <row r="100" spans="1:17" x14ac:dyDescent="0.3">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v>4.7619047620000003</v>
      </c>
      <c r="P100">
        <v>7.9124999999999996</v>
      </c>
      <c r="Q100">
        <v>9.3000000000000007</v>
      </c>
    </row>
    <row r="101" spans="1:17" x14ac:dyDescent="0.3">
      <c r="A101" t="s">
        <v>135</v>
      </c>
      <c r="B101" t="s">
        <v>42</v>
      </c>
      <c r="C101" t="s">
        <v>43</v>
      </c>
      <c r="D101" t="s">
        <v>27</v>
      </c>
      <c r="E101" t="s">
        <v>31</v>
      </c>
      <c r="F101" t="s">
        <v>32</v>
      </c>
      <c r="G101">
        <v>82.7</v>
      </c>
      <c r="H101">
        <v>6</v>
      </c>
      <c r="I101">
        <v>24.81</v>
      </c>
      <c r="J101">
        <v>521.01</v>
      </c>
      <c r="K101" s="1">
        <v>43529</v>
      </c>
      <c r="L101" s="2">
        <v>0.75972222222222219</v>
      </c>
      <c r="M101" t="s">
        <v>29</v>
      </c>
      <c r="N101">
        <v>496.2</v>
      </c>
      <c r="O101">
        <v>4.7619047620000003</v>
      </c>
      <c r="P101">
        <v>24.81</v>
      </c>
      <c r="Q101">
        <v>7.4</v>
      </c>
    </row>
    <row r="102" spans="1:17" x14ac:dyDescent="0.3">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v>4.7619047620000003</v>
      </c>
      <c r="P102">
        <v>2.4355000000000002</v>
      </c>
      <c r="Q102">
        <v>4.0999999999999996</v>
      </c>
    </row>
    <row r="103" spans="1:17" x14ac:dyDescent="0.3">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v>7.2</v>
      </c>
    </row>
    <row r="104" spans="1:17" x14ac:dyDescent="0.3">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v>4.9000000000000004</v>
      </c>
    </row>
    <row r="105" spans="1:17" x14ac:dyDescent="0.3">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v>4.7619047620000003</v>
      </c>
      <c r="P105">
        <v>17.478000000000002</v>
      </c>
      <c r="Q105">
        <v>9.9</v>
      </c>
    </row>
    <row r="106" spans="1:17" x14ac:dyDescent="0.3">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v>8</v>
      </c>
    </row>
    <row r="107" spans="1:17" x14ac:dyDescent="0.3">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v>7.3</v>
      </c>
    </row>
    <row r="108" spans="1:17" x14ac:dyDescent="0.3">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v>4.7619047620000003</v>
      </c>
      <c r="P108">
        <v>8.2140000000000004</v>
      </c>
      <c r="Q108">
        <v>7.9</v>
      </c>
    </row>
    <row r="109" spans="1:17" x14ac:dyDescent="0.3">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v>7.4</v>
      </c>
    </row>
    <row r="110" spans="1:17" x14ac:dyDescent="0.3">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v>4.2</v>
      </c>
    </row>
    <row r="111" spans="1:17" x14ac:dyDescent="0.3">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v>4.5999999999999996</v>
      </c>
    </row>
    <row r="113" spans="1:17" x14ac:dyDescent="0.3">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v>4.7619047620000003</v>
      </c>
      <c r="P113">
        <v>14.7315</v>
      </c>
      <c r="Q113">
        <v>7.8</v>
      </c>
    </row>
    <row r="114" spans="1:17" x14ac:dyDescent="0.3">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v>8.4</v>
      </c>
    </row>
    <row r="115" spans="1:17" x14ac:dyDescent="0.3">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v>4.3</v>
      </c>
    </row>
    <row r="116" spans="1:17" x14ac:dyDescent="0.3">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v>9.5</v>
      </c>
    </row>
    <row r="117" spans="1:17" x14ac:dyDescent="0.3">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v>4.7619047620000003</v>
      </c>
      <c r="P117">
        <v>4.0529999999999999</v>
      </c>
      <c r="Q117">
        <v>7.1</v>
      </c>
    </row>
    <row r="118" spans="1:17" x14ac:dyDescent="0.3">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v>4.7619047620000003</v>
      </c>
      <c r="P118">
        <v>5.4850000000000003</v>
      </c>
      <c r="Q118">
        <v>5.3</v>
      </c>
    </row>
    <row r="119" spans="1:17" x14ac:dyDescent="0.3">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v>5.2</v>
      </c>
    </row>
    <row r="120" spans="1:17" x14ac:dyDescent="0.3">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v>6</v>
      </c>
    </row>
    <row r="121" spans="1:17" x14ac:dyDescent="0.3">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v>4.7619047620000003</v>
      </c>
      <c r="P121">
        <v>5.3440000000000003</v>
      </c>
      <c r="Q121">
        <v>4.0999999999999996</v>
      </c>
    </row>
    <row r="122" spans="1:17" x14ac:dyDescent="0.3">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v>5.2</v>
      </c>
    </row>
    <row r="123" spans="1:17" x14ac:dyDescent="0.3">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v>6.5</v>
      </c>
    </row>
    <row r="124" spans="1:17" x14ac:dyDescent="0.3">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v>4.2</v>
      </c>
    </row>
    <row r="125" spans="1:17" x14ac:dyDescent="0.3">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v>4.7619047620000003</v>
      </c>
      <c r="P125">
        <v>25.564</v>
      </c>
      <c r="Q125">
        <v>4.5999999999999996</v>
      </c>
    </row>
    <row r="126" spans="1:17" x14ac:dyDescent="0.3">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v>7.3</v>
      </c>
    </row>
    <row r="127" spans="1:17" x14ac:dyDescent="0.3">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v>4.5</v>
      </c>
    </row>
    <row r="128" spans="1:17" x14ac:dyDescent="0.3">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v>9</v>
      </c>
    </row>
    <row r="129" spans="1:17" x14ac:dyDescent="0.3">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v>5.9</v>
      </c>
    </row>
    <row r="130" spans="1:17" x14ac:dyDescent="0.3">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v>8.5</v>
      </c>
    </row>
    <row r="131" spans="1:17" x14ac:dyDescent="0.3">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v>7.2</v>
      </c>
    </row>
    <row r="132" spans="1:17" x14ac:dyDescent="0.3">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v>7.5</v>
      </c>
    </row>
    <row r="133" spans="1:17" x14ac:dyDescent="0.3">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v>8.3000000000000007</v>
      </c>
    </row>
    <row r="134" spans="1:17" x14ac:dyDescent="0.3">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v>7.4</v>
      </c>
    </row>
    <row r="135" spans="1:17" x14ac:dyDescent="0.3">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v>4.7619047620000003</v>
      </c>
      <c r="P135">
        <v>26.234999999999999</v>
      </c>
      <c r="Q135">
        <v>8.8000000000000007</v>
      </c>
    </row>
    <row r="136" spans="1:17" x14ac:dyDescent="0.3">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v>5.3</v>
      </c>
    </row>
    <row r="137" spans="1:17" x14ac:dyDescent="0.3">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v>6.2</v>
      </c>
    </row>
    <row r="138" spans="1:17" x14ac:dyDescent="0.3">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v>8.8000000000000007</v>
      </c>
    </row>
    <row r="139" spans="1:17" x14ac:dyDescent="0.3">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v>9.8000000000000007</v>
      </c>
    </row>
    <row r="140" spans="1:17" x14ac:dyDescent="0.3">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v>8.1999999999999993</v>
      </c>
    </row>
    <row r="141" spans="1:17" x14ac:dyDescent="0.3">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v>9.1999999999999993</v>
      </c>
    </row>
    <row r="142" spans="1:17" x14ac:dyDescent="0.3">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v>5.4</v>
      </c>
    </row>
    <row r="143" spans="1:17" x14ac:dyDescent="0.3">
      <c r="A143" t="s">
        <v>177</v>
      </c>
      <c r="B143" t="s">
        <v>25</v>
      </c>
      <c r="C143" t="s">
        <v>26</v>
      </c>
      <c r="D143" t="s">
        <v>20</v>
      </c>
      <c r="E143" t="s">
        <v>31</v>
      </c>
      <c r="F143" t="s">
        <v>22</v>
      </c>
      <c r="G143">
        <v>90.5</v>
      </c>
      <c r="H143">
        <v>10</v>
      </c>
      <c r="I143">
        <v>45.25</v>
      </c>
      <c r="J143">
        <v>950.25</v>
      </c>
      <c r="K143" s="1">
        <v>43490</v>
      </c>
      <c r="L143" s="2">
        <v>0.57499999999999996</v>
      </c>
      <c r="M143" t="s">
        <v>29</v>
      </c>
      <c r="N143">
        <v>905</v>
      </c>
      <c r="O143">
        <v>4.7619047620000003</v>
      </c>
      <c r="P143">
        <v>45.25</v>
      </c>
      <c r="Q143">
        <v>8.1</v>
      </c>
    </row>
    <row r="144" spans="1:17" x14ac:dyDescent="0.3">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v>9.1</v>
      </c>
    </row>
    <row r="145" spans="1:17" x14ac:dyDescent="0.3">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v>8.4</v>
      </c>
    </row>
    <row r="146" spans="1:17" x14ac:dyDescent="0.3">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v>8</v>
      </c>
    </row>
    <row r="147" spans="1:17" x14ac:dyDescent="0.3">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v>9.5</v>
      </c>
    </row>
    <row r="148" spans="1:17" x14ac:dyDescent="0.3">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v>9.1999999999999993</v>
      </c>
    </row>
    <row r="149" spans="1:17" x14ac:dyDescent="0.3">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v>5.6</v>
      </c>
    </row>
    <row r="150" spans="1:17" x14ac:dyDescent="0.3">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v>6.2</v>
      </c>
    </row>
    <row r="151" spans="1:17" x14ac:dyDescent="0.3">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v>4.7619047620000003</v>
      </c>
      <c r="P151">
        <v>12.984</v>
      </c>
      <c r="Q151">
        <v>4.9000000000000004</v>
      </c>
    </row>
    <row r="152" spans="1:17" x14ac:dyDescent="0.3">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v>4.7619047620000003</v>
      </c>
      <c r="P152">
        <v>18.308</v>
      </c>
      <c r="Q152">
        <v>4.8</v>
      </c>
    </row>
    <row r="153" spans="1:17" x14ac:dyDescent="0.3">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v>4.7619047620000003</v>
      </c>
      <c r="P153">
        <v>12.096</v>
      </c>
      <c r="Q153">
        <v>7.3</v>
      </c>
    </row>
    <row r="154" spans="1:17" x14ac:dyDescent="0.3">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v>7.4</v>
      </c>
    </row>
    <row r="155" spans="1:17" x14ac:dyDescent="0.3">
      <c r="A155" t="s">
        <v>189</v>
      </c>
      <c r="B155" t="s">
        <v>25</v>
      </c>
      <c r="C155" t="s">
        <v>26</v>
      </c>
      <c r="D155" t="s">
        <v>27</v>
      </c>
      <c r="E155" t="s">
        <v>21</v>
      </c>
      <c r="F155" t="s">
        <v>44</v>
      </c>
      <c r="G155">
        <v>16.48</v>
      </c>
      <c r="H155">
        <v>6</v>
      </c>
      <c r="I155">
        <v>4.944</v>
      </c>
      <c r="J155">
        <v>103.824</v>
      </c>
      <c r="K155" s="1">
        <v>43503</v>
      </c>
      <c r="L155" s="2">
        <v>0.76597222222222228</v>
      </c>
      <c r="M155" t="s">
        <v>23</v>
      </c>
      <c r="N155">
        <v>98.88</v>
      </c>
      <c r="O155">
        <v>4.7619047620000003</v>
      </c>
      <c r="P155">
        <v>4.944</v>
      </c>
      <c r="Q155">
        <v>9.9</v>
      </c>
    </row>
    <row r="156" spans="1:17" x14ac:dyDescent="0.3">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v>9.3000000000000007</v>
      </c>
    </row>
    <row r="157" spans="1:17" x14ac:dyDescent="0.3">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v>9</v>
      </c>
    </row>
    <row r="158" spans="1:17" x14ac:dyDescent="0.3">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v>4.7619047620000003</v>
      </c>
      <c r="P158">
        <v>3.6084999999999998</v>
      </c>
      <c r="Q158">
        <v>6.1</v>
      </c>
    </row>
    <row r="159" spans="1:17" x14ac:dyDescent="0.3">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v>9.6999999999999993</v>
      </c>
    </row>
    <row r="160" spans="1:17" x14ac:dyDescent="0.3">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v>6</v>
      </c>
    </row>
    <row r="161" spans="1:17" x14ac:dyDescent="0.3">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v>10</v>
      </c>
    </row>
    <row r="162" spans="1:17" x14ac:dyDescent="0.3">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v>8.3000000000000007</v>
      </c>
    </row>
    <row r="163" spans="1:17" x14ac:dyDescent="0.3">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v>6</v>
      </c>
    </row>
    <row r="164" spans="1:17" x14ac:dyDescent="0.3">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v>4.7619047620000003</v>
      </c>
      <c r="P164">
        <v>16.026499999999999</v>
      </c>
      <c r="Q164">
        <v>7</v>
      </c>
    </row>
    <row r="165" spans="1:17" x14ac:dyDescent="0.3">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v>6.5</v>
      </c>
    </row>
    <row r="166" spans="1:17" x14ac:dyDescent="0.3">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v>5.9</v>
      </c>
    </row>
    <row r="167" spans="1:17" x14ac:dyDescent="0.3">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v>5.6</v>
      </c>
    </row>
    <row r="168" spans="1:17" x14ac:dyDescent="0.3">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v>4.8</v>
      </c>
    </row>
    <row r="169" spans="1:17" x14ac:dyDescent="0.3">
      <c r="A169" t="s">
        <v>203</v>
      </c>
      <c r="B169" t="s">
        <v>18</v>
      </c>
      <c r="C169" t="s">
        <v>19</v>
      </c>
      <c r="D169" t="s">
        <v>27</v>
      </c>
      <c r="E169" t="s">
        <v>31</v>
      </c>
      <c r="F169" t="s">
        <v>46</v>
      </c>
      <c r="G169">
        <v>98.98</v>
      </c>
      <c r="H169">
        <v>10</v>
      </c>
      <c r="I169">
        <v>49.49</v>
      </c>
      <c r="J169">
        <v>1039.29</v>
      </c>
      <c r="K169" s="1">
        <v>43504</v>
      </c>
      <c r="L169" s="2">
        <v>0.68055555555555558</v>
      </c>
      <c r="M169" t="s">
        <v>33</v>
      </c>
      <c r="N169">
        <v>989.8</v>
      </c>
      <c r="O169">
        <v>4.7619047620000003</v>
      </c>
      <c r="P169">
        <v>49.49</v>
      </c>
      <c r="Q169">
        <v>8.6999999999999993</v>
      </c>
    </row>
    <row r="170" spans="1:17" x14ac:dyDescent="0.3">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v>6.5</v>
      </c>
    </row>
    <row r="171" spans="1:17" x14ac:dyDescent="0.3">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v>8.5</v>
      </c>
    </row>
    <row r="172" spans="1:17" x14ac:dyDescent="0.3">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v>5.5</v>
      </c>
    </row>
    <row r="173" spans="1:17" x14ac:dyDescent="0.3">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v>9.4</v>
      </c>
    </row>
    <row r="174" spans="1:17" x14ac:dyDescent="0.3">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v>9.8000000000000007</v>
      </c>
    </row>
    <row r="176" spans="1:17" x14ac:dyDescent="0.3">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v>8.6999999999999993</v>
      </c>
    </row>
    <row r="177" spans="1:17" x14ac:dyDescent="0.3">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v>8.8000000000000007</v>
      </c>
    </row>
    <row r="178" spans="1:17" x14ac:dyDescent="0.3">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v>4.8</v>
      </c>
    </row>
    <row r="180" spans="1:17" x14ac:dyDescent="0.3">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v>4.7619047620000003</v>
      </c>
      <c r="P180">
        <v>22.164000000000001</v>
      </c>
      <c r="Q180">
        <v>4.4000000000000004</v>
      </c>
    </row>
    <row r="181" spans="1:17" x14ac:dyDescent="0.3">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v>4.7619047620000003</v>
      </c>
      <c r="P181">
        <v>13.02</v>
      </c>
      <c r="Q181">
        <v>9.9</v>
      </c>
    </row>
    <row r="182" spans="1:17" x14ac:dyDescent="0.3">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v>5.7</v>
      </c>
    </row>
    <row r="183" spans="1:17" x14ac:dyDescent="0.3">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v>4.7619047620000003</v>
      </c>
      <c r="P183">
        <v>15.388</v>
      </c>
      <c r="Q183">
        <v>7.7</v>
      </c>
    </row>
    <row r="184" spans="1:17" x14ac:dyDescent="0.3">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v>8</v>
      </c>
    </row>
    <row r="185" spans="1:17" x14ac:dyDescent="0.3">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v>5.7</v>
      </c>
    </row>
    <row r="186" spans="1:17" x14ac:dyDescent="0.3">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v>6.7</v>
      </c>
    </row>
    <row r="187" spans="1:17" x14ac:dyDescent="0.3">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v>8</v>
      </c>
    </row>
    <row r="188" spans="1:17" x14ac:dyDescent="0.3">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v>7</v>
      </c>
    </row>
    <row r="190" spans="1:17" x14ac:dyDescent="0.3">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v>9.9</v>
      </c>
    </row>
    <row r="191" spans="1:17" x14ac:dyDescent="0.3">
      <c r="A191" t="s">
        <v>225</v>
      </c>
      <c r="B191" t="s">
        <v>25</v>
      </c>
      <c r="C191" t="s">
        <v>26</v>
      </c>
      <c r="D191" t="s">
        <v>27</v>
      </c>
      <c r="E191" t="s">
        <v>21</v>
      </c>
      <c r="F191" t="s">
        <v>32</v>
      </c>
      <c r="G191">
        <v>69.81</v>
      </c>
      <c r="H191">
        <v>4</v>
      </c>
      <c r="I191">
        <v>13.962</v>
      </c>
      <c r="J191">
        <v>293.202</v>
      </c>
      <c r="K191" s="1">
        <v>43493</v>
      </c>
      <c r="L191" s="2">
        <v>0.86805555555555558</v>
      </c>
      <c r="M191" t="s">
        <v>33</v>
      </c>
      <c r="N191">
        <v>279.24</v>
      </c>
      <c r="O191">
        <v>4.7619047620000003</v>
      </c>
      <c r="P191">
        <v>13.962</v>
      </c>
      <c r="Q191">
        <v>5.9</v>
      </c>
    </row>
    <row r="192" spans="1:17" x14ac:dyDescent="0.3">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v>4.7619047620000003</v>
      </c>
      <c r="P192">
        <v>11.555999999999999</v>
      </c>
      <c r="Q192">
        <v>7.2</v>
      </c>
    </row>
    <row r="193" spans="1:17" x14ac:dyDescent="0.3">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v>4.5999999999999996</v>
      </c>
    </row>
    <row r="194" spans="1:17" x14ac:dyDescent="0.3">
      <c r="A194" t="s">
        <v>228</v>
      </c>
      <c r="B194" t="s">
        <v>25</v>
      </c>
      <c r="C194" t="s">
        <v>26</v>
      </c>
      <c r="D194" t="s">
        <v>27</v>
      </c>
      <c r="E194" t="s">
        <v>21</v>
      </c>
      <c r="F194" t="s">
        <v>44</v>
      </c>
      <c r="G194">
        <v>87.8</v>
      </c>
      <c r="H194">
        <v>9</v>
      </c>
      <c r="I194">
        <v>39.51</v>
      </c>
      <c r="J194">
        <v>829.71</v>
      </c>
      <c r="K194" s="1">
        <v>43540</v>
      </c>
      <c r="L194" s="2">
        <v>0.79722222222222228</v>
      </c>
      <c r="M194" t="s">
        <v>29</v>
      </c>
      <c r="N194">
        <v>790.2</v>
      </c>
      <c r="O194">
        <v>4.7619047620000003</v>
      </c>
      <c r="P194">
        <v>39.51</v>
      </c>
      <c r="Q194">
        <v>9.1999999999999993</v>
      </c>
    </row>
    <row r="195" spans="1:17" x14ac:dyDescent="0.3">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v>5.7</v>
      </c>
    </row>
    <row r="196" spans="1:17" x14ac:dyDescent="0.3">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v>9.9</v>
      </c>
    </row>
    <row r="197" spans="1:17" x14ac:dyDescent="0.3">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v>5</v>
      </c>
    </row>
    <row r="198" spans="1:17" x14ac:dyDescent="0.3">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v>4.9000000000000004</v>
      </c>
    </row>
    <row r="199" spans="1:17" x14ac:dyDescent="0.3">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v>6.1</v>
      </c>
    </row>
    <row r="200" spans="1:17" x14ac:dyDescent="0.3">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v>4.7619047620000003</v>
      </c>
      <c r="P200">
        <v>8.3000000000000007</v>
      </c>
      <c r="Q200">
        <v>8.1999999999999993</v>
      </c>
    </row>
    <row r="201" spans="1:17" x14ac:dyDescent="0.3">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v>4.7619047620000003</v>
      </c>
      <c r="P201">
        <v>17.8475</v>
      </c>
      <c r="Q201">
        <v>5.5</v>
      </c>
    </row>
    <row r="202" spans="1:17" x14ac:dyDescent="0.3">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v>6.8</v>
      </c>
    </row>
    <row r="203" spans="1:17" x14ac:dyDescent="0.3">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v>6.6</v>
      </c>
    </row>
    <row r="204" spans="1:17" x14ac:dyDescent="0.3">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v>9.8000000000000007</v>
      </c>
    </row>
    <row r="205" spans="1:17" x14ac:dyDescent="0.3">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v>8.6999999999999993</v>
      </c>
    </row>
    <row r="206" spans="1:17" x14ac:dyDescent="0.3">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v>5.4</v>
      </c>
    </row>
    <row r="207" spans="1:17" x14ac:dyDescent="0.3">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v>7.9</v>
      </c>
    </row>
    <row r="208" spans="1:17" x14ac:dyDescent="0.3">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v>9.6999999999999993</v>
      </c>
    </row>
    <row r="209" spans="1:17" x14ac:dyDescent="0.3">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v>4.7619047620000003</v>
      </c>
      <c r="P209">
        <v>14.265000000000001</v>
      </c>
      <c r="Q209">
        <v>7.8</v>
      </c>
    </row>
    <row r="210" spans="1:17" x14ac:dyDescent="0.3">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v>5.0999999999999996</v>
      </c>
    </row>
    <row r="211" spans="1:17" x14ac:dyDescent="0.3">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v>6.5</v>
      </c>
    </row>
    <row r="212" spans="1:17" x14ac:dyDescent="0.3">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v>5.9</v>
      </c>
    </row>
    <row r="213" spans="1:17" x14ac:dyDescent="0.3">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v>8.8000000000000007</v>
      </c>
    </row>
    <row r="214" spans="1:17" x14ac:dyDescent="0.3">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v>4.9000000000000004</v>
      </c>
    </row>
    <row r="215" spans="1:17" x14ac:dyDescent="0.3">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v>4.4000000000000004</v>
      </c>
    </row>
    <row r="216" spans="1:17" x14ac:dyDescent="0.3">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v>6.5</v>
      </c>
    </row>
    <row r="217" spans="1:17" x14ac:dyDescent="0.3">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v>8.3000000000000007</v>
      </c>
    </row>
    <row r="218" spans="1:17" x14ac:dyDescent="0.3">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v>8.5</v>
      </c>
    </row>
    <row r="219" spans="1:17" x14ac:dyDescent="0.3">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v>5.5</v>
      </c>
    </row>
    <row r="220" spans="1:17" x14ac:dyDescent="0.3">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v>8.6999999999999993</v>
      </c>
    </row>
    <row r="221" spans="1:17" x14ac:dyDescent="0.3">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v>4.7619047620000003</v>
      </c>
      <c r="P221">
        <v>8.6010000000000009</v>
      </c>
      <c r="Q221">
        <v>7.9</v>
      </c>
    </row>
    <row r="222" spans="1:17" x14ac:dyDescent="0.3">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v>6.1</v>
      </c>
    </row>
    <row r="223" spans="1:17" x14ac:dyDescent="0.3">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v>4.7619047620000003</v>
      </c>
      <c r="P223">
        <v>21.728000000000002</v>
      </c>
      <c r="Q223">
        <v>5.4</v>
      </c>
    </row>
    <row r="224" spans="1:17" x14ac:dyDescent="0.3">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v>4.7619047620000003</v>
      </c>
      <c r="P224">
        <v>2.9525000000000001</v>
      </c>
      <c r="Q224">
        <v>9.4</v>
      </c>
    </row>
    <row r="225" spans="1:17" x14ac:dyDescent="0.3">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v>8.1999999999999993</v>
      </c>
    </row>
    <row r="226" spans="1:17" x14ac:dyDescent="0.3">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v>6.2</v>
      </c>
    </row>
    <row r="227" spans="1:17" x14ac:dyDescent="0.3">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v>9.6999999999999993</v>
      </c>
    </row>
    <row r="228" spans="1:17" x14ac:dyDescent="0.3">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v>4</v>
      </c>
    </row>
    <row r="229" spans="1:17" x14ac:dyDescent="0.3">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v>4.7619047620000003</v>
      </c>
      <c r="P229">
        <v>7.4119999999999999</v>
      </c>
      <c r="Q229">
        <v>9.6999999999999993</v>
      </c>
    </row>
    <row r="230" spans="1:17" x14ac:dyDescent="0.3">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v>5.3</v>
      </c>
    </row>
    <row r="231" spans="1:17" x14ac:dyDescent="0.3">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v>7.4</v>
      </c>
    </row>
    <row r="232" spans="1:17" x14ac:dyDescent="0.3">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v>4.7619047620000003</v>
      </c>
      <c r="P232">
        <v>8.1370000000000005</v>
      </c>
      <c r="Q232">
        <v>6.5</v>
      </c>
    </row>
    <row r="233" spans="1:17" x14ac:dyDescent="0.3">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v>4.7619047620000003</v>
      </c>
      <c r="P233">
        <v>1.5885</v>
      </c>
      <c r="Q233">
        <v>8.6999999999999993</v>
      </c>
    </row>
    <row r="234" spans="1:17" x14ac:dyDescent="0.3">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v>8</v>
      </c>
    </row>
    <row r="235" spans="1:17" x14ac:dyDescent="0.3">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v>4.7619047620000003</v>
      </c>
      <c r="P235">
        <v>14.763999999999999</v>
      </c>
      <c r="Q235">
        <v>6.7</v>
      </c>
    </row>
    <row r="236" spans="1:17" x14ac:dyDescent="0.3">
      <c r="A236" t="s">
        <v>270</v>
      </c>
      <c r="B236" t="s">
        <v>18</v>
      </c>
      <c r="C236" t="s">
        <v>19</v>
      </c>
      <c r="D236" t="s">
        <v>20</v>
      </c>
      <c r="E236" t="s">
        <v>31</v>
      </c>
      <c r="F236" t="s">
        <v>22</v>
      </c>
      <c r="G236">
        <v>51.94</v>
      </c>
      <c r="H236">
        <v>10</v>
      </c>
      <c r="I236">
        <v>25.97</v>
      </c>
      <c r="J236">
        <v>545.37</v>
      </c>
      <c r="K236" s="1">
        <v>43533</v>
      </c>
      <c r="L236" s="2">
        <v>0.76666666666666672</v>
      </c>
      <c r="M236" t="s">
        <v>23</v>
      </c>
      <c r="N236">
        <v>519.4</v>
      </c>
      <c r="O236">
        <v>4.7619047620000003</v>
      </c>
      <c r="P236">
        <v>25.97</v>
      </c>
      <c r="Q236">
        <v>6.5</v>
      </c>
    </row>
    <row r="237" spans="1:17" x14ac:dyDescent="0.3">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v>4.0999999999999996</v>
      </c>
    </row>
    <row r="238" spans="1:17" x14ac:dyDescent="0.3">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v>4.7619047620000003</v>
      </c>
      <c r="P238">
        <v>4.3525</v>
      </c>
      <c r="Q238">
        <v>4.9000000000000004</v>
      </c>
    </row>
    <row r="239" spans="1:17" x14ac:dyDescent="0.3">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v>8.6</v>
      </c>
    </row>
    <row r="240" spans="1:17" x14ac:dyDescent="0.3">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v>4.3</v>
      </c>
    </row>
    <row r="241" spans="1:17" x14ac:dyDescent="0.3">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v>4.7619047620000003</v>
      </c>
      <c r="P241">
        <v>4.4844999999999997</v>
      </c>
      <c r="Q241">
        <v>4.9000000000000004</v>
      </c>
    </row>
    <row r="242" spans="1:17" x14ac:dyDescent="0.3">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v>5.6</v>
      </c>
    </row>
    <row r="243" spans="1:17" x14ac:dyDescent="0.3">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v>5.8</v>
      </c>
    </row>
    <row r="244" spans="1:17" x14ac:dyDescent="0.3">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v>6</v>
      </c>
    </row>
    <row r="245" spans="1:17" x14ac:dyDescent="0.3">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v>4.2</v>
      </c>
    </row>
    <row r="246" spans="1:17" x14ac:dyDescent="0.3">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v>4.8</v>
      </c>
    </row>
    <row r="249" spans="1:17" x14ac:dyDescent="0.3">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v>6.8</v>
      </c>
    </row>
    <row r="250" spans="1:17" x14ac:dyDescent="0.3">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v>8.8000000000000007</v>
      </c>
    </row>
    <row r="251" spans="1:17" x14ac:dyDescent="0.3">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v>4.7619047620000003</v>
      </c>
      <c r="P251">
        <v>25.571000000000002</v>
      </c>
      <c r="Q251">
        <v>4.2</v>
      </c>
    </row>
    <row r="252" spans="1:17" x14ac:dyDescent="0.3">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v>4.7619047620000003</v>
      </c>
      <c r="P253">
        <v>17.594999999999999</v>
      </c>
      <c r="Q253">
        <v>8.4</v>
      </c>
    </row>
    <row r="254" spans="1:17" x14ac:dyDescent="0.3">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v>4.7619047620000003</v>
      </c>
      <c r="P254">
        <v>1.4390000000000001</v>
      </c>
      <c r="Q254">
        <v>7.2</v>
      </c>
    </row>
    <row r="255" spans="1:17" x14ac:dyDescent="0.3">
      <c r="A255" t="s">
        <v>289</v>
      </c>
      <c r="B255" t="s">
        <v>18</v>
      </c>
      <c r="C255" t="s">
        <v>19</v>
      </c>
      <c r="D255" t="s">
        <v>27</v>
      </c>
      <c r="E255" t="s">
        <v>31</v>
      </c>
      <c r="F255" t="s">
        <v>32</v>
      </c>
      <c r="G255">
        <v>23.75</v>
      </c>
      <c r="H255">
        <v>4</v>
      </c>
      <c r="I255">
        <v>4.75</v>
      </c>
      <c r="J255">
        <v>99.75</v>
      </c>
      <c r="K255" s="1">
        <v>43540</v>
      </c>
      <c r="L255" s="2">
        <v>0.47361111111111109</v>
      </c>
      <c r="M255" t="s">
        <v>29</v>
      </c>
      <c r="N255">
        <v>95</v>
      </c>
      <c r="O255">
        <v>4.7619047620000003</v>
      </c>
      <c r="P255">
        <v>4.75</v>
      </c>
      <c r="Q255">
        <v>5.2</v>
      </c>
    </row>
    <row r="256" spans="1:17" x14ac:dyDescent="0.3">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v>8.9</v>
      </c>
    </row>
    <row r="257" spans="1:17" x14ac:dyDescent="0.3">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v>9</v>
      </c>
    </row>
    <row r="258" spans="1:17" x14ac:dyDescent="0.3">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v>9.6999999999999993</v>
      </c>
    </row>
    <row r="259" spans="1:17" x14ac:dyDescent="0.3">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v>4.7619047620000003</v>
      </c>
      <c r="P259">
        <v>7.7729999999999997</v>
      </c>
      <c r="Q259">
        <v>8.6999999999999993</v>
      </c>
    </row>
    <row r="260" spans="1:17" x14ac:dyDescent="0.3">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v>6.5</v>
      </c>
    </row>
    <row r="261" spans="1:17" x14ac:dyDescent="0.3">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v>4.7619047620000003</v>
      </c>
      <c r="P261">
        <v>13.188000000000001</v>
      </c>
      <c r="Q261">
        <v>6.9</v>
      </c>
    </row>
    <row r="262" spans="1:17" x14ac:dyDescent="0.3">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v>6.2</v>
      </c>
    </row>
    <row r="263" spans="1:17" x14ac:dyDescent="0.3">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v>5.6</v>
      </c>
    </row>
    <row r="264" spans="1:17" x14ac:dyDescent="0.3">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v>5.7</v>
      </c>
    </row>
    <row r="265" spans="1:17" x14ac:dyDescent="0.3">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v>4.2</v>
      </c>
    </row>
    <row r="266" spans="1:17" x14ac:dyDescent="0.3">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v>4.7619047620000003</v>
      </c>
      <c r="P266">
        <v>2.7225000000000001</v>
      </c>
      <c r="Q266">
        <v>7.9</v>
      </c>
    </row>
    <row r="267" spans="1:17" x14ac:dyDescent="0.3">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v>8.6999999999999993</v>
      </c>
    </row>
    <row r="268" spans="1:17" x14ac:dyDescent="0.3">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v>6.9</v>
      </c>
    </row>
    <row r="269" spans="1:17" x14ac:dyDescent="0.3">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v>9.5</v>
      </c>
    </row>
    <row r="270" spans="1:17" x14ac:dyDescent="0.3">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v>4.4000000000000004</v>
      </c>
    </row>
    <row r="271" spans="1:17" x14ac:dyDescent="0.3">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v>7</v>
      </c>
    </row>
    <row r="272" spans="1:17" x14ac:dyDescent="0.3">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v>6.3</v>
      </c>
    </row>
    <row r="273" spans="1:17" x14ac:dyDescent="0.3">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v>9.6999999999999993</v>
      </c>
    </row>
    <row r="274" spans="1:17" x14ac:dyDescent="0.3">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v>8.8000000000000007</v>
      </c>
    </row>
    <row r="275" spans="1:17" x14ac:dyDescent="0.3">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v>5.0999999999999996</v>
      </c>
    </row>
    <row r="276" spans="1:17" x14ac:dyDescent="0.3">
      <c r="A276" t="s">
        <v>310</v>
      </c>
      <c r="B276" t="s">
        <v>42</v>
      </c>
      <c r="C276" t="s">
        <v>43</v>
      </c>
      <c r="D276" t="s">
        <v>27</v>
      </c>
      <c r="E276" t="s">
        <v>21</v>
      </c>
      <c r="F276" t="s">
        <v>22</v>
      </c>
      <c r="G276">
        <v>99.71</v>
      </c>
      <c r="H276">
        <v>6</v>
      </c>
      <c r="I276">
        <v>29.913</v>
      </c>
      <c r="J276">
        <v>628.173</v>
      </c>
      <c r="K276" s="1">
        <v>43522</v>
      </c>
      <c r="L276" s="2">
        <v>0.70277777777777772</v>
      </c>
      <c r="M276" t="s">
        <v>23</v>
      </c>
      <c r="N276">
        <v>598.26</v>
      </c>
      <c r="O276">
        <v>4.7619047620000003</v>
      </c>
      <c r="P276">
        <v>29.913</v>
      </c>
      <c r="Q276">
        <v>7.9</v>
      </c>
    </row>
    <row r="277" spans="1:17" x14ac:dyDescent="0.3">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v>6.2</v>
      </c>
    </row>
    <row r="278" spans="1:17" x14ac:dyDescent="0.3">
      <c r="A278" t="s">
        <v>312</v>
      </c>
      <c r="B278" t="s">
        <v>25</v>
      </c>
      <c r="C278" t="s">
        <v>26</v>
      </c>
      <c r="D278" t="s">
        <v>20</v>
      </c>
      <c r="E278" t="s">
        <v>21</v>
      </c>
      <c r="F278" t="s">
        <v>32</v>
      </c>
      <c r="G278">
        <v>21.82</v>
      </c>
      <c r="H278">
        <v>10</v>
      </c>
      <c r="I278">
        <v>10.91</v>
      </c>
      <c r="J278">
        <v>229.11</v>
      </c>
      <c r="K278" s="1">
        <v>43472</v>
      </c>
      <c r="L278" s="2">
        <v>0.73333333333333328</v>
      </c>
      <c r="M278" t="s">
        <v>29</v>
      </c>
      <c r="N278">
        <v>218.2</v>
      </c>
      <c r="O278">
        <v>4.7619047620000003</v>
      </c>
      <c r="P278">
        <v>10.91</v>
      </c>
      <c r="Q278">
        <v>7.1</v>
      </c>
    </row>
    <row r="279" spans="1:17" x14ac:dyDescent="0.3">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v>4.7619047620000003</v>
      </c>
      <c r="P280">
        <v>35.494999999999997</v>
      </c>
      <c r="Q280">
        <v>5.7</v>
      </c>
    </row>
    <row r="281" spans="1:17" x14ac:dyDescent="0.3">
      <c r="A281" t="s">
        <v>315</v>
      </c>
      <c r="B281" t="s">
        <v>18</v>
      </c>
      <c r="C281" t="s">
        <v>19</v>
      </c>
      <c r="D281" t="s">
        <v>20</v>
      </c>
      <c r="E281" t="s">
        <v>31</v>
      </c>
      <c r="F281" t="s">
        <v>36</v>
      </c>
      <c r="G281">
        <v>44.02</v>
      </c>
      <c r="H281">
        <v>10</v>
      </c>
      <c r="I281">
        <v>22.01</v>
      </c>
      <c r="J281">
        <v>462.21</v>
      </c>
      <c r="K281" s="1">
        <v>43544</v>
      </c>
      <c r="L281" s="2">
        <v>0.83125000000000004</v>
      </c>
      <c r="M281" t="s">
        <v>33</v>
      </c>
      <c r="N281">
        <v>440.2</v>
      </c>
      <c r="O281">
        <v>4.7619047620000003</v>
      </c>
      <c r="P281">
        <v>22.01</v>
      </c>
      <c r="Q281">
        <v>9.6</v>
      </c>
    </row>
    <row r="282" spans="1:17" x14ac:dyDescent="0.3">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v>4.7619047620000003</v>
      </c>
      <c r="P282">
        <v>27.984000000000002</v>
      </c>
      <c r="Q282">
        <v>6.4</v>
      </c>
    </row>
    <row r="283" spans="1:17" x14ac:dyDescent="0.3">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v>7.9</v>
      </c>
    </row>
    <row r="284" spans="1:17" x14ac:dyDescent="0.3">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v>6.5</v>
      </c>
    </row>
    <row r="285" spans="1:17" x14ac:dyDescent="0.3">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v>8.5</v>
      </c>
    </row>
    <row r="286" spans="1:17" x14ac:dyDescent="0.3">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v>9.1</v>
      </c>
    </row>
    <row r="287" spans="1:17" x14ac:dyDescent="0.3">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v>7.6</v>
      </c>
    </row>
    <row r="288" spans="1:17" x14ac:dyDescent="0.3">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v>6.9</v>
      </c>
    </row>
    <row r="289" spans="1:17" x14ac:dyDescent="0.3">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v>9.5</v>
      </c>
    </row>
    <row r="290" spans="1:17" x14ac:dyDescent="0.3">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v>5.2</v>
      </c>
    </row>
    <row r="291" spans="1:17" x14ac:dyDescent="0.3">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v>4.7619047620000003</v>
      </c>
      <c r="P291">
        <v>33.207999999999998</v>
      </c>
      <c r="Q291">
        <v>4.2</v>
      </c>
    </row>
    <row r="292" spans="1:17" x14ac:dyDescent="0.3">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v>4.7619047620000003</v>
      </c>
      <c r="P292">
        <v>20.149999999999999</v>
      </c>
      <c r="Q292">
        <v>7</v>
      </c>
    </row>
    <row r="293" spans="1:17" x14ac:dyDescent="0.3">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v>6</v>
      </c>
    </row>
    <row r="294" spans="1:17" x14ac:dyDescent="0.3">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v>4.7</v>
      </c>
    </row>
    <row r="295" spans="1:17" x14ac:dyDescent="0.3">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v>7.1</v>
      </c>
    </row>
    <row r="296" spans="1:17" x14ac:dyDescent="0.3">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v>4.7619047620000003</v>
      </c>
      <c r="P296">
        <v>9.0549999999999997</v>
      </c>
      <c r="Q296">
        <v>5.9</v>
      </c>
    </row>
    <row r="297" spans="1:17" x14ac:dyDescent="0.3">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v>4.7619047620000003</v>
      </c>
      <c r="P298">
        <v>5.7679999999999998</v>
      </c>
      <c r="Q298">
        <v>6.4</v>
      </c>
    </row>
    <row r="299" spans="1:17" x14ac:dyDescent="0.3">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v>5.8</v>
      </c>
    </row>
    <row r="300" spans="1:17" x14ac:dyDescent="0.3">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v>4.5</v>
      </c>
    </row>
    <row r="301" spans="1:17" x14ac:dyDescent="0.3">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v>4.7619047620000003</v>
      </c>
      <c r="P301">
        <v>4.4305000000000003</v>
      </c>
      <c r="Q301">
        <v>7.7</v>
      </c>
    </row>
    <row r="302" spans="1:17" x14ac:dyDescent="0.3">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v>6.7</v>
      </c>
    </row>
    <row r="303" spans="1:17" x14ac:dyDescent="0.3">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v>4.7</v>
      </c>
    </row>
    <row r="304" spans="1:17" x14ac:dyDescent="0.3">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v>4.4000000000000004</v>
      </c>
    </row>
    <row r="305" spans="1:17" x14ac:dyDescent="0.3">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v>4.7</v>
      </c>
    </row>
    <row r="306" spans="1:17" x14ac:dyDescent="0.3">
      <c r="A306" t="s">
        <v>340</v>
      </c>
      <c r="B306" t="s">
        <v>42</v>
      </c>
      <c r="C306" t="s">
        <v>43</v>
      </c>
      <c r="D306" t="s">
        <v>27</v>
      </c>
      <c r="E306" t="s">
        <v>21</v>
      </c>
      <c r="F306" t="s">
        <v>28</v>
      </c>
      <c r="G306">
        <v>14.96</v>
      </c>
      <c r="H306">
        <v>8</v>
      </c>
      <c r="I306">
        <v>5.984</v>
      </c>
      <c r="J306">
        <v>125.664</v>
      </c>
      <c r="K306" s="1">
        <v>43519</v>
      </c>
      <c r="L306" s="2">
        <v>0.52013888888888893</v>
      </c>
      <c r="M306" t="s">
        <v>29</v>
      </c>
      <c r="N306">
        <v>119.68</v>
      </c>
      <c r="O306">
        <v>4.7619047620000003</v>
      </c>
      <c r="P306">
        <v>5.984</v>
      </c>
      <c r="Q306">
        <v>8.6</v>
      </c>
    </row>
    <row r="307" spans="1:17" x14ac:dyDescent="0.3">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v>4.3</v>
      </c>
    </row>
    <row r="308" spans="1:17" x14ac:dyDescent="0.3">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v>9.6</v>
      </c>
    </row>
    <row r="309" spans="1:17" x14ac:dyDescent="0.3">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v>4.7619047620000003</v>
      </c>
      <c r="P309">
        <v>35.515999999999998</v>
      </c>
      <c r="Q309">
        <v>4.0999999999999996</v>
      </c>
    </row>
    <row r="310" spans="1:17" x14ac:dyDescent="0.3">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v>4.7</v>
      </c>
    </row>
    <row r="311" spans="1:17" x14ac:dyDescent="0.3">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v>4.7619047620000003</v>
      </c>
      <c r="P311">
        <v>8.1910000000000007</v>
      </c>
      <c r="Q311">
        <v>7.8</v>
      </c>
    </row>
    <row r="312" spans="1:17" x14ac:dyDescent="0.3">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v>5.5</v>
      </c>
    </row>
    <row r="313" spans="1:17" x14ac:dyDescent="0.3">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v>9.6999999999999993</v>
      </c>
    </row>
    <row r="314" spans="1:17" x14ac:dyDescent="0.3">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v>4.4000000000000004</v>
      </c>
    </row>
    <row r="315" spans="1:17" x14ac:dyDescent="0.3">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v>5</v>
      </c>
    </row>
    <row r="316" spans="1:17" x14ac:dyDescent="0.3">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v>4.4000000000000004</v>
      </c>
    </row>
    <row r="317" spans="1:17" x14ac:dyDescent="0.3">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v>4.7619047620000003</v>
      </c>
      <c r="P317">
        <v>9.9369999999999994</v>
      </c>
      <c r="Q317">
        <v>5.2</v>
      </c>
    </row>
    <row r="318" spans="1:17" x14ac:dyDescent="0.3">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v>4.7619047620000003</v>
      </c>
      <c r="P318">
        <v>3.1619999999999999</v>
      </c>
      <c r="Q318">
        <v>7.3</v>
      </c>
    </row>
    <row r="319" spans="1:17" x14ac:dyDescent="0.3">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v>4.9000000000000004</v>
      </c>
    </row>
    <row r="320" spans="1:17" x14ac:dyDescent="0.3">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v>8.1</v>
      </c>
    </row>
    <row r="321" spans="1:17" x14ac:dyDescent="0.3">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v>4.7619047620000003</v>
      </c>
      <c r="P321">
        <v>8.8140000000000001</v>
      </c>
      <c r="Q321">
        <v>8.4</v>
      </c>
    </row>
    <row r="322" spans="1:17" x14ac:dyDescent="0.3">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v>5.5</v>
      </c>
    </row>
    <row r="323" spans="1:17" x14ac:dyDescent="0.3">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v>8.4</v>
      </c>
    </row>
    <row r="324" spans="1:17" x14ac:dyDescent="0.3">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v>9.8000000000000007</v>
      </c>
    </row>
    <row r="325" spans="1:17" x14ac:dyDescent="0.3">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v>6.7</v>
      </c>
    </row>
    <row r="326" spans="1:17" x14ac:dyDescent="0.3">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v>9.4</v>
      </c>
    </row>
    <row r="327" spans="1:17" x14ac:dyDescent="0.3">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v>4.7619047620000003</v>
      </c>
      <c r="P327">
        <v>19.547999999999998</v>
      </c>
      <c r="Q327">
        <v>6.4</v>
      </c>
    </row>
    <row r="328" spans="1:17" x14ac:dyDescent="0.3">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v>4.7619047620000003</v>
      </c>
      <c r="P328">
        <v>24.945</v>
      </c>
      <c r="Q328">
        <v>5.4</v>
      </c>
    </row>
    <row r="329" spans="1:17" x14ac:dyDescent="0.3">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v>8.6</v>
      </c>
    </row>
    <row r="330" spans="1:17" x14ac:dyDescent="0.3">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v>4</v>
      </c>
    </row>
    <row r="331" spans="1:17" x14ac:dyDescent="0.3">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v>4.7619047620000003</v>
      </c>
      <c r="P331">
        <v>7.2720000000000002</v>
      </c>
      <c r="Q331">
        <v>7.6</v>
      </c>
    </row>
    <row r="332" spans="1:17" x14ac:dyDescent="0.3">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v>6.8</v>
      </c>
    </row>
    <row r="333" spans="1:17" x14ac:dyDescent="0.3">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v>9.1</v>
      </c>
    </row>
    <row r="334" spans="1:17" x14ac:dyDescent="0.3">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v>5.5</v>
      </c>
    </row>
    <row r="335" spans="1:17" x14ac:dyDescent="0.3">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v>7.9</v>
      </c>
    </row>
    <row r="336" spans="1:17" x14ac:dyDescent="0.3">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v>4.7619047620000003</v>
      </c>
      <c r="P336">
        <v>3.6749999999999998</v>
      </c>
      <c r="Q336">
        <v>8.5</v>
      </c>
    </row>
    <row r="337" spans="1:17" x14ac:dyDescent="0.3">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v>9.1</v>
      </c>
    </row>
    <row r="338" spans="1:17" x14ac:dyDescent="0.3">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v>7.5</v>
      </c>
    </row>
    <row r="339" spans="1:17" x14ac:dyDescent="0.3">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v>5.2</v>
      </c>
    </row>
    <row r="340" spans="1:17" x14ac:dyDescent="0.3">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v>9.5</v>
      </c>
    </row>
    <row r="341" spans="1:17" x14ac:dyDescent="0.3">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v>8.9</v>
      </c>
    </row>
    <row r="342" spans="1:17" x14ac:dyDescent="0.3">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v>4.7619047620000003</v>
      </c>
      <c r="P342">
        <v>7.2134999999999998</v>
      </c>
      <c r="Q342">
        <v>7.8</v>
      </c>
    </row>
    <row r="343" spans="1:17" x14ac:dyDescent="0.3">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v>8.9</v>
      </c>
    </row>
    <row r="344" spans="1:17" x14ac:dyDescent="0.3">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v>7.7</v>
      </c>
    </row>
    <row r="345" spans="1:17" x14ac:dyDescent="0.3">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v>4.7619047620000003</v>
      </c>
      <c r="P345">
        <v>24.2575</v>
      </c>
      <c r="Q345">
        <v>9.3000000000000007</v>
      </c>
    </row>
    <row r="346" spans="1:17" x14ac:dyDescent="0.3">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v>6.2</v>
      </c>
    </row>
    <row r="347" spans="1:17" x14ac:dyDescent="0.3">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v>7.6</v>
      </c>
    </row>
    <row r="348" spans="1:17" x14ac:dyDescent="0.3">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v>7.3</v>
      </c>
    </row>
    <row r="349" spans="1:17" x14ac:dyDescent="0.3">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v>4.7</v>
      </c>
    </row>
    <row r="350" spans="1:17" x14ac:dyDescent="0.3">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v>4.7619047620000003</v>
      </c>
      <c r="P350">
        <v>9.1069999999999993</v>
      </c>
      <c r="Q350">
        <v>5.0999999999999996</v>
      </c>
    </row>
    <row r="351" spans="1:17" x14ac:dyDescent="0.3">
      <c r="A351" t="s">
        <v>385</v>
      </c>
      <c r="B351" t="s">
        <v>42</v>
      </c>
      <c r="C351" t="s">
        <v>43</v>
      </c>
      <c r="D351" t="s">
        <v>27</v>
      </c>
      <c r="E351" t="s">
        <v>21</v>
      </c>
      <c r="F351" t="s">
        <v>22</v>
      </c>
      <c r="G351">
        <v>13.5</v>
      </c>
      <c r="H351">
        <v>10</v>
      </c>
      <c r="I351">
        <v>6.75</v>
      </c>
      <c r="J351">
        <v>141.75</v>
      </c>
      <c r="K351" s="1">
        <v>43523</v>
      </c>
      <c r="L351" s="2">
        <v>0.46250000000000002</v>
      </c>
      <c r="M351" t="s">
        <v>33</v>
      </c>
      <c r="N351">
        <v>135</v>
      </c>
      <c r="O351">
        <v>4.7619047620000003</v>
      </c>
      <c r="P351">
        <v>6.75</v>
      </c>
      <c r="Q351">
        <v>4.8</v>
      </c>
    </row>
    <row r="352" spans="1:17" x14ac:dyDescent="0.3">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v>6.6</v>
      </c>
    </row>
    <row r="353" spans="1:17" x14ac:dyDescent="0.3">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v>4.7619047620000003</v>
      </c>
      <c r="P353">
        <v>18.0915</v>
      </c>
      <c r="Q353">
        <v>5.5</v>
      </c>
    </row>
    <row r="354" spans="1:17" x14ac:dyDescent="0.3">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v>4.7619047620000003</v>
      </c>
      <c r="P354">
        <v>19.1555</v>
      </c>
      <c r="Q354">
        <v>8.5</v>
      </c>
    </row>
    <row r="355" spans="1:17" x14ac:dyDescent="0.3">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v>4.8</v>
      </c>
    </row>
    <row r="356" spans="1:17" x14ac:dyDescent="0.3">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v>8.4</v>
      </c>
    </row>
    <row r="357" spans="1:17" x14ac:dyDescent="0.3">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v>4.7619047620000003</v>
      </c>
      <c r="P357">
        <v>17.827999999999999</v>
      </c>
      <c r="Q357">
        <v>7.8</v>
      </c>
    </row>
    <row r="358" spans="1:17" x14ac:dyDescent="0.3">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v>4.7619047620000003</v>
      </c>
      <c r="P358">
        <v>18.774999999999999</v>
      </c>
      <c r="Q358">
        <v>9.3000000000000007</v>
      </c>
    </row>
    <row r="359" spans="1:17" x14ac:dyDescent="0.3">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v>5.2</v>
      </c>
    </row>
    <row r="360" spans="1:17" x14ac:dyDescent="0.3">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v>6.5</v>
      </c>
    </row>
    <row r="361" spans="1:17" x14ac:dyDescent="0.3">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v>4.7619047620000003</v>
      </c>
      <c r="P361">
        <v>3.7484999999999999</v>
      </c>
      <c r="Q361">
        <v>5.6</v>
      </c>
    </row>
    <row r="362" spans="1:17" x14ac:dyDescent="0.3">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v>4.7619047620000003</v>
      </c>
      <c r="P362">
        <v>32.384</v>
      </c>
      <c r="Q362">
        <v>7.4</v>
      </c>
    </row>
    <row r="363" spans="1:17" x14ac:dyDescent="0.3">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v>9.1</v>
      </c>
    </row>
    <row r="364" spans="1:17" x14ac:dyDescent="0.3">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v>4.7619047620000003</v>
      </c>
      <c r="P364">
        <v>9.9789999999999992</v>
      </c>
      <c r="Q364">
        <v>8</v>
      </c>
    </row>
    <row r="365" spans="1:17" x14ac:dyDescent="0.3">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v>7.2</v>
      </c>
    </row>
    <row r="366" spans="1:17" x14ac:dyDescent="0.3">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v>7.1</v>
      </c>
    </row>
    <row r="367" spans="1:17" x14ac:dyDescent="0.3">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v>9.1</v>
      </c>
    </row>
    <row r="368" spans="1:17" x14ac:dyDescent="0.3">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v>5.6</v>
      </c>
    </row>
    <row r="369" spans="1:17" x14ac:dyDescent="0.3">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v>4.7619047620000003</v>
      </c>
      <c r="P369">
        <v>13.188000000000001</v>
      </c>
      <c r="Q369">
        <v>6</v>
      </c>
    </row>
    <row r="370" spans="1:17" x14ac:dyDescent="0.3">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v>5.4</v>
      </c>
    </row>
    <row r="371" spans="1:17" x14ac:dyDescent="0.3">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v>7.8</v>
      </c>
    </row>
    <row r="372" spans="1:17" x14ac:dyDescent="0.3">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v>4.9000000000000004</v>
      </c>
    </row>
    <row r="374" spans="1:17" x14ac:dyDescent="0.3">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v>4.7619047620000003</v>
      </c>
      <c r="P374">
        <v>21.033000000000001</v>
      </c>
      <c r="Q374">
        <v>5.2</v>
      </c>
    </row>
    <row r="375" spans="1:17" x14ac:dyDescent="0.3">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v>4.7619047620000003</v>
      </c>
      <c r="P375">
        <v>12.624000000000001</v>
      </c>
      <c r="Q375">
        <v>8.9</v>
      </c>
    </row>
    <row r="376" spans="1:17" x14ac:dyDescent="0.3">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v>4.7619047620000003</v>
      </c>
      <c r="P376">
        <v>16.772500000000001</v>
      </c>
      <c r="Q376">
        <v>9.1</v>
      </c>
    </row>
    <row r="377" spans="1:17" x14ac:dyDescent="0.3">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v>7</v>
      </c>
    </row>
    <row r="378" spans="1:17" x14ac:dyDescent="0.3">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v>9.6</v>
      </c>
    </row>
    <row r="379" spans="1:17" x14ac:dyDescent="0.3">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v>4.7619047620000003</v>
      </c>
      <c r="P379">
        <v>33.421500000000002</v>
      </c>
      <c r="Q379">
        <v>8.6999999999999993</v>
      </c>
    </row>
    <row r="380" spans="1:17" x14ac:dyDescent="0.3">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v>9.4</v>
      </c>
    </row>
    <row r="381" spans="1:17" x14ac:dyDescent="0.3">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v>4</v>
      </c>
    </row>
    <row r="382" spans="1:17" x14ac:dyDescent="0.3">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v>4.7619047620000003</v>
      </c>
      <c r="P382">
        <v>16.466000000000001</v>
      </c>
      <c r="Q382">
        <v>7.5</v>
      </c>
    </row>
    <row r="383" spans="1:17" x14ac:dyDescent="0.3">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v>4.2</v>
      </c>
    </row>
    <row r="384" spans="1:17" x14ac:dyDescent="0.3">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v>9.9</v>
      </c>
    </row>
    <row r="385" spans="1:17" x14ac:dyDescent="0.3">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v>4.2</v>
      </c>
    </row>
    <row r="386" spans="1:17" x14ac:dyDescent="0.3">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v>9.9</v>
      </c>
    </row>
    <row r="387" spans="1:17" x14ac:dyDescent="0.3">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v>5.8</v>
      </c>
    </row>
    <row r="388" spans="1:17" x14ac:dyDescent="0.3">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v>6</v>
      </c>
    </row>
    <row r="389" spans="1:17" x14ac:dyDescent="0.3">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v>10</v>
      </c>
    </row>
    <row r="390" spans="1:17" x14ac:dyDescent="0.3">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v>9.5</v>
      </c>
    </row>
    <row r="391" spans="1:17" x14ac:dyDescent="0.3">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v>6.6</v>
      </c>
    </row>
    <row r="392" spans="1:17" x14ac:dyDescent="0.3">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v>8.1</v>
      </c>
    </row>
    <row r="393" spans="1:17" x14ac:dyDescent="0.3">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v>9.6999999999999993</v>
      </c>
    </row>
    <row r="394" spans="1:17" x14ac:dyDescent="0.3">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v>7.2</v>
      </c>
    </row>
    <row r="395" spans="1:17" x14ac:dyDescent="0.3">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v>6.2</v>
      </c>
    </row>
    <row r="396" spans="1:17" x14ac:dyDescent="0.3">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v>7.3</v>
      </c>
    </row>
    <row r="397" spans="1:17" x14ac:dyDescent="0.3">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v>4.3</v>
      </c>
    </row>
    <row r="398" spans="1:17" x14ac:dyDescent="0.3">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v>4.5999999999999996</v>
      </c>
    </row>
    <row r="399" spans="1:17" x14ac:dyDescent="0.3">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v>5.8</v>
      </c>
    </row>
    <row r="400" spans="1:17" x14ac:dyDescent="0.3">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v>8.3000000000000007</v>
      </c>
    </row>
    <row r="401" spans="1:17" x14ac:dyDescent="0.3">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v>8</v>
      </c>
    </row>
    <row r="402" spans="1:17" x14ac:dyDescent="0.3">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v>9.4</v>
      </c>
    </row>
    <row r="403" spans="1:17" x14ac:dyDescent="0.3">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v>6.2</v>
      </c>
    </row>
    <row r="404" spans="1:17" x14ac:dyDescent="0.3">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v>9.8000000000000007</v>
      </c>
    </row>
    <row r="405" spans="1:17" x14ac:dyDescent="0.3">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v>9.6</v>
      </c>
    </row>
    <row r="406" spans="1:17" x14ac:dyDescent="0.3">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v>4.9000000000000004</v>
      </c>
    </row>
    <row r="407" spans="1:17" x14ac:dyDescent="0.3">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v>8</v>
      </c>
    </row>
    <row r="408" spans="1:17" x14ac:dyDescent="0.3">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v>4.7619047620000003</v>
      </c>
      <c r="P408">
        <v>3.4474999999999998</v>
      </c>
      <c r="Q408">
        <v>7.8</v>
      </c>
    </row>
    <row r="409" spans="1:17" x14ac:dyDescent="0.3">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v>4.0999999999999996</v>
      </c>
    </row>
    <row r="410" spans="1:17" x14ac:dyDescent="0.3">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v>4.7619047620000003</v>
      </c>
      <c r="P410">
        <v>11.305999999999999</v>
      </c>
      <c r="Q410">
        <v>5.5</v>
      </c>
    </row>
    <row r="411" spans="1:17" x14ac:dyDescent="0.3">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v>4.7619047620000003</v>
      </c>
      <c r="P411">
        <v>5.9550000000000001</v>
      </c>
      <c r="Q411">
        <v>5.4</v>
      </c>
    </row>
    <row r="412" spans="1:17" x14ac:dyDescent="0.3">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v>5.0999999999999996</v>
      </c>
    </row>
    <row r="413" spans="1:17" x14ac:dyDescent="0.3">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v>6.9</v>
      </c>
    </row>
    <row r="414" spans="1:17" x14ac:dyDescent="0.3">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v>7.8</v>
      </c>
    </row>
    <row r="415" spans="1:17" x14ac:dyDescent="0.3">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v>4.7619047620000003</v>
      </c>
      <c r="P415">
        <v>3.8759999999999999</v>
      </c>
      <c r="Q415">
        <v>6.6</v>
      </c>
    </row>
    <row r="416" spans="1:17" x14ac:dyDescent="0.3">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v>4.7619047620000003</v>
      </c>
      <c r="P416">
        <v>20.372</v>
      </c>
      <c r="Q416">
        <v>9.1999999999999993</v>
      </c>
    </row>
    <row r="417" spans="1:17" x14ac:dyDescent="0.3">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v>4.7619047620000003</v>
      </c>
      <c r="P417">
        <v>4.8055000000000003</v>
      </c>
      <c r="Q417">
        <v>7.8</v>
      </c>
    </row>
    <row r="418" spans="1:17" x14ac:dyDescent="0.3">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v>4.7619047620000003</v>
      </c>
      <c r="P418">
        <v>9.0760000000000005</v>
      </c>
      <c r="Q418">
        <v>8.6999999999999993</v>
      </c>
    </row>
    <row r="419" spans="1:17" x14ac:dyDescent="0.3">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v>9.1999999999999993</v>
      </c>
    </row>
    <row r="420" spans="1:17" x14ac:dyDescent="0.3">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v>8.3000000000000007</v>
      </c>
    </row>
    <row r="421" spans="1:17" x14ac:dyDescent="0.3">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v>8.1999999999999993</v>
      </c>
    </row>
    <row r="422" spans="1:17" x14ac:dyDescent="0.3">
      <c r="A422" t="s">
        <v>456</v>
      </c>
      <c r="B422" t="s">
        <v>25</v>
      </c>
      <c r="C422" t="s">
        <v>26</v>
      </c>
      <c r="D422" t="s">
        <v>20</v>
      </c>
      <c r="E422" t="s">
        <v>21</v>
      </c>
      <c r="F422" t="s">
        <v>44</v>
      </c>
      <c r="G422">
        <v>38.6</v>
      </c>
      <c r="H422">
        <v>3</v>
      </c>
      <c r="I422">
        <v>5.79</v>
      </c>
      <c r="J422">
        <v>121.59</v>
      </c>
      <c r="K422" s="1">
        <v>43552</v>
      </c>
      <c r="L422" s="2">
        <v>0.58125000000000004</v>
      </c>
      <c r="M422" t="s">
        <v>23</v>
      </c>
      <c r="N422">
        <v>115.8</v>
      </c>
      <c r="O422">
        <v>4.7619047620000003</v>
      </c>
      <c r="P422">
        <v>5.79</v>
      </c>
      <c r="Q422">
        <v>7.5</v>
      </c>
    </row>
    <row r="423" spans="1:17" x14ac:dyDescent="0.3">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v>9.8000000000000007</v>
      </c>
    </row>
    <row r="424" spans="1:17" x14ac:dyDescent="0.3">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v>8.6999999999999993</v>
      </c>
    </row>
    <row r="425" spans="1:17" x14ac:dyDescent="0.3">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v>6.7</v>
      </c>
    </row>
    <row r="426" spans="1:17" x14ac:dyDescent="0.3">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v>5</v>
      </c>
    </row>
    <row r="427" spans="1:17" x14ac:dyDescent="0.3">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v>7</v>
      </c>
    </row>
    <row r="428" spans="1:17" x14ac:dyDescent="0.3">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v>8.9</v>
      </c>
    </row>
    <row r="429" spans="1:17" x14ac:dyDescent="0.3">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v>4.7619047620000003</v>
      </c>
      <c r="P429">
        <v>3.1305000000000001</v>
      </c>
      <c r="Q429">
        <v>8</v>
      </c>
    </row>
    <row r="430" spans="1:17" x14ac:dyDescent="0.3">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v>6.9</v>
      </c>
    </row>
    <row r="431" spans="1:17" x14ac:dyDescent="0.3">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v>7.3</v>
      </c>
    </row>
    <row r="432" spans="1:17" x14ac:dyDescent="0.3">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v>4.7619047620000003</v>
      </c>
      <c r="P432">
        <v>6.9080000000000004</v>
      </c>
      <c r="Q432">
        <v>6.9</v>
      </c>
    </row>
    <row r="433" spans="1:17" x14ac:dyDescent="0.3">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v>4.7619047620000003</v>
      </c>
      <c r="P433">
        <v>4.327</v>
      </c>
      <c r="Q433">
        <v>5.7</v>
      </c>
    </row>
    <row r="434" spans="1:17" x14ac:dyDescent="0.3">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v>6.4</v>
      </c>
    </row>
    <row r="435" spans="1:17" x14ac:dyDescent="0.3">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v>9.6</v>
      </c>
    </row>
    <row r="436" spans="1:17" x14ac:dyDescent="0.3">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v>6.8</v>
      </c>
    </row>
    <row r="437" spans="1:17" x14ac:dyDescent="0.3">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v>4.7619047620000003</v>
      </c>
      <c r="P437">
        <v>44.658000000000001</v>
      </c>
      <c r="Q437">
        <v>9</v>
      </c>
    </row>
    <row r="438" spans="1:17" x14ac:dyDescent="0.3">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v>4.7619047620000003</v>
      </c>
      <c r="P438">
        <v>16.585999999999999</v>
      </c>
      <c r="Q438">
        <v>9.6</v>
      </c>
    </row>
    <row r="439" spans="1:17" x14ac:dyDescent="0.3">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v>7.7</v>
      </c>
    </row>
    <row r="440" spans="1:17" x14ac:dyDescent="0.3">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v>7</v>
      </c>
    </row>
    <row r="441" spans="1:17" x14ac:dyDescent="0.3">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v>4.7619047620000003</v>
      </c>
      <c r="P441">
        <v>16.344000000000001</v>
      </c>
      <c r="Q441">
        <v>6.5</v>
      </c>
    </row>
    <row r="442" spans="1:17" x14ac:dyDescent="0.3">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v>8.1</v>
      </c>
    </row>
    <row r="443" spans="1:17" x14ac:dyDescent="0.3">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v>4.3</v>
      </c>
    </row>
    <row r="444" spans="1:17" x14ac:dyDescent="0.3">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v>6.5</v>
      </c>
    </row>
    <row r="445" spans="1:17" x14ac:dyDescent="0.3">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v>9.5</v>
      </c>
    </row>
    <row r="446" spans="1:17" x14ac:dyDescent="0.3">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v>9.6999999999999993</v>
      </c>
    </row>
    <row r="447" spans="1:17" x14ac:dyDescent="0.3">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v>4.7619047620000003</v>
      </c>
      <c r="P447">
        <v>0.95750000000000002</v>
      </c>
      <c r="Q447">
        <v>9.5</v>
      </c>
    </row>
    <row r="448" spans="1:17" x14ac:dyDescent="0.3">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v>4.7619047620000003</v>
      </c>
      <c r="P448">
        <v>13.83</v>
      </c>
      <c r="Q448">
        <v>8.9</v>
      </c>
    </row>
    <row r="449" spans="1:17" x14ac:dyDescent="0.3">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v>4.7619047620000003</v>
      </c>
      <c r="P449">
        <v>6.8609999999999998</v>
      </c>
      <c r="Q449">
        <v>6.5</v>
      </c>
    </row>
    <row r="450" spans="1:17" x14ac:dyDescent="0.3">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v>5.3</v>
      </c>
    </row>
    <row r="451" spans="1:17" x14ac:dyDescent="0.3">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v>9.6</v>
      </c>
    </row>
    <row r="452" spans="1:17" x14ac:dyDescent="0.3">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v>7.6</v>
      </c>
    </row>
    <row r="454" spans="1:17" x14ac:dyDescent="0.3">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v>4.8</v>
      </c>
    </row>
    <row r="455" spans="1:17" x14ac:dyDescent="0.3">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v>4.7</v>
      </c>
    </row>
    <row r="457" spans="1:17" x14ac:dyDescent="0.3">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v>6.9</v>
      </c>
    </row>
    <row r="458" spans="1:17" x14ac:dyDescent="0.3">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v>4.5</v>
      </c>
    </row>
    <row r="459" spans="1:17" x14ac:dyDescent="0.3">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v>6.2</v>
      </c>
    </row>
    <row r="460" spans="1:17" x14ac:dyDescent="0.3">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v>7.6</v>
      </c>
    </row>
    <row r="461" spans="1:17" x14ac:dyDescent="0.3">
      <c r="A461" t="s">
        <v>495</v>
      </c>
      <c r="B461" t="s">
        <v>25</v>
      </c>
      <c r="C461" t="s">
        <v>26</v>
      </c>
      <c r="D461" t="s">
        <v>27</v>
      </c>
      <c r="E461" t="s">
        <v>31</v>
      </c>
      <c r="F461" t="s">
        <v>44</v>
      </c>
      <c r="G461">
        <v>35.89</v>
      </c>
      <c r="H461">
        <v>1</v>
      </c>
      <c r="I461">
        <v>1.7945</v>
      </c>
      <c r="J461">
        <v>37.6845</v>
      </c>
      <c r="K461" s="1">
        <v>43519</v>
      </c>
      <c r="L461" s="2">
        <v>0.70277777777777772</v>
      </c>
      <c r="M461" t="s">
        <v>33</v>
      </c>
      <c r="N461">
        <v>35.89</v>
      </c>
      <c r="O461">
        <v>4.7619047620000003</v>
      </c>
      <c r="P461">
        <v>1.7945</v>
      </c>
      <c r="Q461">
        <v>7.9</v>
      </c>
    </row>
    <row r="462" spans="1:17" x14ac:dyDescent="0.3">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v>4.5</v>
      </c>
    </row>
    <row r="463" spans="1:17" x14ac:dyDescent="0.3">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v>6.1</v>
      </c>
    </row>
    <row r="465" spans="1:17" x14ac:dyDescent="0.3">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v>6.4</v>
      </c>
    </row>
    <row r="466" spans="1:17" x14ac:dyDescent="0.3">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v>9.1</v>
      </c>
    </row>
    <row r="467" spans="1:17" x14ac:dyDescent="0.3">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v>4.7619047620000003</v>
      </c>
      <c r="P467">
        <v>27.274999999999999</v>
      </c>
      <c r="Q467">
        <v>7.1</v>
      </c>
    </row>
    <row r="468" spans="1:17" x14ac:dyDescent="0.3">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v>4.7619047620000003</v>
      </c>
      <c r="P468">
        <v>13.0025</v>
      </c>
      <c r="Q468">
        <v>7.7</v>
      </c>
    </row>
    <row r="469" spans="1:17" x14ac:dyDescent="0.3">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v>4.5</v>
      </c>
    </row>
    <row r="470" spans="1:17" x14ac:dyDescent="0.3">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v>7.2</v>
      </c>
    </row>
    <row r="471" spans="1:17" x14ac:dyDescent="0.3">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v>8.4</v>
      </c>
    </row>
    <row r="472" spans="1:17" x14ac:dyDescent="0.3">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v>5.4</v>
      </c>
    </row>
    <row r="473" spans="1:17" x14ac:dyDescent="0.3">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v>9.6999999999999993</v>
      </c>
    </row>
    <row r="474" spans="1:17" x14ac:dyDescent="0.3">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v>4.5999999999999996</v>
      </c>
    </row>
    <row r="476" spans="1:17" x14ac:dyDescent="0.3">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v>6.6</v>
      </c>
    </row>
    <row r="477" spans="1:17" x14ac:dyDescent="0.3">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v>6.3</v>
      </c>
    </row>
    <row r="478" spans="1:17" x14ac:dyDescent="0.3">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v>4.2</v>
      </c>
    </row>
    <row r="479" spans="1:17" x14ac:dyDescent="0.3">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v>4.7619047620000003</v>
      </c>
      <c r="P479">
        <v>16.814</v>
      </c>
      <c r="Q479">
        <v>4.4000000000000004</v>
      </c>
    </row>
    <row r="480" spans="1:17" x14ac:dyDescent="0.3">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v>6.7</v>
      </c>
    </row>
    <row r="481" spans="1:17" x14ac:dyDescent="0.3">
      <c r="A481" t="s">
        <v>515</v>
      </c>
      <c r="B481" t="s">
        <v>18</v>
      </c>
      <c r="C481" t="s">
        <v>19</v>
      </c>
      <c r="D481" t="s">
        <v>27</v>
      </c>
      <c r="E481" t="s">
        <v>31</v>
      </c>
      <c r="F481" t="s">
        <v>28</v>
      </c>
      <c r="G481">
        <v>38.6</v>
      </c>
      <c r="H481">
        <v>1</v>
      </c>
      <c r="I481">
        <v>1.93</v>
      </c>
      <c r="J481">
        <v>40.53</v>
      </c>
      <c r="K481" s="1">
        <v>43494</v>
      </c>
      <c r="L481" s="2">
        <v>0.47638888888888886</v>
      </c>
      <c r="M481" t="s">
        <v>23</v>
      </c>
      <c r="N481">
        <v>38.6</v>
      </c>
      <c r="O481">
        <v>4.7619047620000003</v>
      </c>
      <c r="P481">
        <v>1.93</v>
      </c>
      <c r="Q481">
        <v>6.7</v>
      </c>
    </row>
    <row r="482" spans="1:17" x14ac:dyDescent="0.3">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v>6.2</v>
      </c>
    </row>
    <row r="484" spans="1:17" x14ac:dyDescent="0.3">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v>4.7619047620000003</v>
      </c>
      <c r="P484">
        <v>9.2850000000000001</v>
      </c>
      <c r="Q484">
        <v>5</v>
      </c>
    </row>
    <row r="485" spans="1:17" x14ac:dyDescent="0.3">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v>6</v>
      </c>
    </row>
    <row r="486" spans="1:17" x14ac:dyDescent="0.3">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v>6.6</v>
      </c>
    </row>
    <row r="488" spans="1:17" x14ac:dyDescent="0.3">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v>4.7619047620000003</v>
      </c>
      <c r="P488">
        <v>20.545000000000002</v>
      </c>
      <c r="Q488">
        <v>7.3</v>
      </c>
    </row>
    <row r="489" spans="1:17" x14ac:dyDescent="0.3">
      <c r="A489" t="s">
        <v>523</v>
      </c>
      <c r="B489" t="s">
        <v>18</v>
      </c>
      <c r="C489" t="s">
        <v>19</v>
      </c>
      <c r="D489" t="s">
        <v>27</v>
      </c>
      <c r="E489" t="s">
        <v>31</v>
      </c>
      <c r="F489" t="s">
        <v>46</v>
      </c>
      <c r="G489">
        <v>37.15</v>
      </c>
      <c r="H489">
        <v>4</v>
      </c>
      <c r="I489">
        <v>7.43</v>
      </c>
      <c r="J489">
        <v>156.03</v>
      </c>
      <c r="K489" s="1">
        <v>43547</v>
      </c>
      <c r="L489" s="2">
        <v>0.79097222222222219</v>
      </c>
      <c r="M489" t="s">
        <v>23</v>
      </c>
      <c r="N489">
        <v>148.6</v>
      </c>
      <c r="O489">
        <v>4.7619047620000003</v>
      </c>
      <c r="P489">
        <v>7.43</v>
      </c>
      <c r="Q489">
        <v>8.3000000000000007</v>
      </c>
    </row>
    <row r="490" spans="1:17" x14ac:dyDescent="0.3">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v>4.3</v>
      </c>
    </row>
    <row r="491" spans="1:17" x14ac:dyDescent="0.3">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v>9.8000000000000007</v>
      </c>
    </row>
    <row r="492" spans="1:17" x14ac:dyDescent="0.3">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v>4.7619047620000003</v>
      </c>
      <c r="P492">
        <v>3.47</v>
      </c>
      <c r="Q492">
        <v>8.1999999999999993</v>
      </c>
    </row>
    <row r="493" spans="1:17" x14ac:dyDescent="0.3">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v>7.2</v>
      </c>
    </row>
    <row r="494" spans="1:17" x14ac:dyDescent="0.3">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v>8.6999999999999993</v>
      </c>
    </row>
    <row r="495" spans="1:17" x14ac:dyDescent="0.3">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v>8.4</v>
      </c>
    </row>
    <row r="496" spans="1:17" x14ac:dyDescent="0.3">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v>4.7619047620000003</v>
      </c>
      <c r="P496">
        <v>9.9890000000000008</v>
      </c>
      <c r="Q496">
        <v>7.1</v>
      </c>
    </row>
    <row r="497" spans="1:17" x14ac:dyDescent="0.3">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v>5.5</v>
      </c>
    </row>
    <row r="498" spans="1:17" x14ac:dyDescent="0.3">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v>6.2</v>
      </c>
    </row>
    <row r="500" spans="1:17" x14ac:dyDescent="0.3">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v>8.9</v>
      </c>
    </row>
    <row r="501" spans="1:17" x14ac:dyDescent="0.3">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v>5.4</v>
      </c>
    </row>
    <row r="503" spans="1:17" x14ac:dyDescent="0.3">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v>9.1</v>
      </c>
    </row>
    <row r="504" spans="1:17" x14ac:dyDescent="0.3">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v>4.7619047620000003</v>
      </c>
      <c r="P504">
        <v>6.94</v>
      </c>
      <c r="Q504">
        <v>9</v>
      </c>
    </row>
    <row r="505" spans="1:17" x14ac:dyDescent="0.3">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v>6.3</v>
      </c>
    </row>
    <row r="506" spans="1:17" x14ac:dyDescent="0.3">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v>4.7619047620000003</v>
      </c>
      <c r="P506">
        <v>4.4225000000000003</v>
      </c>
      <c r="Q506">
        <v>9.5</v>
      </c>
    </row>
    <row r="507" spans="1:17" x14ac:dyDescent="0.3">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v>4.7619047620000003</v>
      </c>
      <c r="P507">
        <v>9.6720000000000006</v>
      </c>
      <c r="Q507">
        <v>9.8000000000000007</v>
      </c>
    </row>
    <row r="508" spans="1:17" x14ac:dyDescent="0.3">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v>6.7</v>
      </c>
    </row>
    <row r="509" spans="1:17" x14ac:dyDescent="0.3">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v>7.7</v>
      </c>
    </row>
    <row r="510" spans="1:17" x14ac:dyDescent="0.3">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v>7</v>
      </c>
    </row>
    <row r="511" spans="1:17" x14ac:dyDescent="0.3">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v>5.0999999999999996</v>
      </c>
    </row>
    <row r="512" spans="1:17" x14ac:dyDescent="0.3">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v>6.2</v>
      </c>
    </row>
    <row r="513" spans="1:17" x14ac:dyDescent="0.3">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v>4.7619047620000003</v>
      </c>
      <c r="P513">
        <v>10.727499999999999</v>
      </c>
      <c r="Q513">
        <v>6.1</v>
      </c>
    </row>
    <row r="514" spans="1:17" x14ac:dyDescent="0.3">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v>9.3000000000000007</v>
      </c>
    </row>
    <row r="515" spans="1:17" x14ac:dyDescent="0.3">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v>7.6</v>
      </c>
    </row>
    <row r="516" spans="1:17" x14ac:dyDescent="0.3">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v>8.1999999999999993</v>
      </c>
    </row>
    <row r="517" spans="1:17" x14ac:dyDescent="0.3">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v>8.5</v>
      </c>
    </row>
    <row r="518" spans="1:17" x14ac:dyDescent="0.3">
      <c r="A518" t="s">
        <v>552</v>
      </c>
      <c r="B518" t="s">
        <v>42</v>
      </c>
      <c r="C518" t="s">
        <v>43</v>
      </c>
      <c r="D518" t="s">
        <v>20</v>
      </c>
      <c r="E518" t="s">
        <v>31</v>
      </c>
      <c r="F518" t="s">
        <v>22</v>
      </c>
      <c r="G518">
        <v>54.86</v>
      </c>
      <c r="H518">
        <v>5</v>
      </c>
      <c r="I518">
        <v>13.715</v>
      </c>
      <c r="J518">
        <v>288.01499999999999</v>
      </c>
      <c r="K518" s="1">
        <v>43553</v>
      </c>
      <c r="L518" s="2">
        <v>0.7</v>
      </c>
      <c r="M518" t="s">
        <v>23</v>
      </c>
      <c r="N518">
        <v>274.3</v>
      </c>
      <c r="O518">
        <v>4.7619047620000003</v>
      </c>
      <c r="P518">
        <v>13.715</v>
      </c>
      <c r="Q518">
        <v>9.8000000000000007</v>
      </c>
    </row>
    <row r="519" spans="1:17" x14ac:dyDescent="0.3">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v>4.7619047620000003</v>
      </c>
      <c r="P519">
        <v>9.8475000000000001</v>
      </c>
      <c r="Q519">
        <v>8.6999999999999993</v>
      </c>
    </row>
    <row r="520" spans="1:17" x14ac:dyDescent="0.3">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v>4.7619047620000003</v>
      </c>
      <c r="P520">
        <v>3.4729999999999999</v>
      </c>
      <c r="Q520">
        <v>9.6999999999999993</v>
      </c>
    </row>
    <row r="521" spans="1:17" x14ac:dyDescent="0.3">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v>4.3</v>
      </c>
    </row>
    <row r="522" spans="1:17" x14ac:dyDescent="0.3">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v>7.7</v>
      </c>
    </row>
    <row r="523" spans="1:17" x14ac:dyDescent="0.3">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v>7.3</v>
      </c>
    </row>
    <row r="524" spans="1:17" x14ac:dyDescent="0.3">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v>4.7619047620000003</v>
      </c>
      <c r="P524">
        <v>11.231999999999999</v>
      </c>
      <c r="Q524">
        <v>5.9</v>
      </c>
    </row>
    <row r="525" spans="1:17" x14ac:dyDescent="0.3">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v>8</v>
      </c>
    </row>
    <row r="527" spans="1:17" x14ac:dyDescent="0.3">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v>7.1</v>
      </c>
    </row>
    <row r="528" spans="1:17" x14ac:dyDescent="0.3">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v>9</v>
      </c>
    </row>
    <row r="529" spans="1:17" x14ac:dyDescent="0.3">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v>6.7</v>
      </c>
    </row>
    <row r="530" spans="1:17" x14ac:dyDescent="0.3">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v>6.1</v>
      </c>
    </row>
    <row r="531" spans="1:17" x14ac:dyDescent="0.3">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v>9.3000000000000007</v>
      </c>
    </row>
    <row r="532" spans="1:17" x14ac:dyDescent="0.3">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v>7</v>
      </c>
    </row>
    <row r="533" spans="1:17" x14ac:dyDescent="0.3">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v>7.2</v>
      </c>
    </row>
    <row r="534" spans="1:17" x14ac:dyDescent="0.3">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v>4.7619047620000003</v>
      </c>
      <c r="P534">
        <v>11.475</v>
      </c>
      <c r="Q534">
        <v>8.1999999999999993</v>
      </c>
    </row>
    <row r="535" spans="1:17" x14ac:dyDescent="0.3">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v>4.7619047620000003</v>
      </c>
      <c r="P535">
        <v>7.3395000000000001</v>
      </c>
      <c r="Q535">
        <v>8.4</v>
      </c>
    </row>
    <row r="536" spans="1:17" x14ac:dyDescent="0.3">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v>6.2</v>
      </c>
    </row>
    <row r="537" spans="1:17" x14ac:dyDescent="0.3">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v>7.4</v>
      </c>
    </row>
    <row r="538" spans="1:17" x14ac:dyDescent="0.3">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v>5</v>
      </c>
    </row>
    <row r="539" spans="1:17" x14ac:dyDescent="0.3">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v>6.9</v>
      </c>
    </row>
    <row r="540" spans="1:17" x14ac:dyDescent="0.3">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v>4.9000000000000004</v>
      </c>
    </row>
    <row r="541" spans="1:17" x14ac:dyDescent="0.3">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v>4.7619047620000003</v>
      </c>
      <c r="P541">
        <v>26.244</v>
      </c>
      <c r="Q541">
        <v>5.0999999999999996</v>
      </c>
    </row>
    <row r="542" spans="1:17" x14ac:dyDescent="0.3">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v>9.1</v>
      </c>
    </row>
    <row r="543" spans="1:17" x14ac:dyDescent="0.3">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v>7.1</v>
      </c>
    </row>
    <row r="544" spans="1:17" x14ac:dyDescent="0.3">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v>5</v>
      </c>
    </row>
    <row r="545" spans="1:17" x14ac:dyDescent="0.3">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v>5.5</v>
      </c>
    </row>
    <row r="546" spans="1:17" x14ac:dyDescent="0.3">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v>9.1999999999999993</v>
      </c>
    </row>
    <row r="547" spans="1:17" x14ac:dyDescent="0.3">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v>4.9000000000000004</v>
      </c>
    </row>
    <row r="548" spans="1:17" x14ac:dyDescent="0.3">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v>8.9</v>
      </c>
    </row>
    <row r="549" spans="1:17" x14ac:dyDescent="0.3">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v>6</v>
      </c>
    </row>
    <row r="550" spans="1:17" x14ac:dyDescent="0.3">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v>4.2</v>
      </c>
    </row>
    <row r="551" spans="1:17" x14ac:dyDescent="0.3">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v>7.3</v>
      </c>
    </row>
    <row r="552" spans="1:17" x14ac:dyDescent="0.3">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v>6.5</v>
      </c>
    </row>
    <row r="553" spans="1:17" x14ac:dyDescent="0.3">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v>8.9</v>
      </c>
    </row>
    <row r="554" spans="1:17" x14ac:dyDescent="0.3">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v>9.6999999999999993</v>
      </c>
    </row>
    <row r="555" spans="1:17" x14ac:dyDescent="0.3">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v>4.7619047620000003</v>
      </c>
      <c r="P555">
        <v>6.6630000000000003</v>
      </c>
      <c r="Q555">
        <v>8.6</v>
      </c>
    </row>
    <row r="556" spans="1:17" x14ac:dyDescent="0.3">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v>4.7619047620000003</v>
      </c>
      <c r="P556">
        <v>6.7619999999999996</v>
      </c>
      <c r="Q556">
        <v>6.9</v>
      </c>
    </row>
    <row r="557" spans="1:17" x14ac:dyDescent="0.3">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v>7.7</v>
      </c>
    </row>
    <row r="558" spans="1:17" x14ac:dyDescent="0.3">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v>9.5</v>
      </c>
    </row>
    <row r="559" spans="1:17" x14ac:dyDescent="0.3">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v>4.5</v>
      </c>
    </row>
    <row r="560" spans="1:17" x14ac:dyDescent="0.3">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v>5.6</v>
      </c>
    </row>
    <row r="561" spans="1:17" x14ac:dyDescent="0.3">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v>4.7619047620000003</v>
      </c>
      <c r="P561">
        <v>10.863</v>
      </c>
      <c r="Q561">
        <v>8.1999999999999993</v>
      </c>
    </row>
    <row r="562" spans="1:17" x14ac:dyDescent="0.3">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v>7.3</v>
      </c>
    </row>
    <row r="563" spans="1:17" x14ac:dyDescent="0.3">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v>4.4000000000000004</v>
      </c>
    </row>
    <row r="564" spans="1:17" x14ac:dyDescent="0.3">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v>5.7</v>
      </c>
    </row>
    <row r="565" spans="1:17" x14ac:dyDescent="0.3">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v>5</v>
      </c>
    </row>
    <row r="566" spans="1:17" x14ac:dyDescent="0.3">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v>9</v>
      </c>
    </row>
    <row r="567" spans="1:17" x14ac:dyDescent="0.3">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v>4.7619047620000003</v>
      </c>
      <c r="P567">
        <v>40.604999999999997</v>
      </c>
      <c r="Q567">
        <v>6.3</v>
      </c>
    </row>
    <row r="568" spans="1:17" x14ac:dyDescent="0.3">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v>4.7619047620000003</v>
      </c>
      <c r="P568">
        <v>24.664999999999999</v>
      </c>
      <c r="Q568">
        <v>9.4</v>
      </c>
    </row>
    <row r="569" spans="1:17" x14ac:dyDescent="0.3">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v>4.7619047620000003</v>
      </c>
      <c r="P570">
        <v>27.951000000000001</v>
      </c>
      <c r="Q570">
        <v>5.5</v>
      </c>
    </row>
    <row r="571" spans="1:17" x14ac:dyDescent="0.3">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v>4.0999999999999996</v>
      </c>
    </row>
    <row r="572" spans="1:17" x14ac:dyDescent="0.3">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v>7.6</v>
      </c>
    </row>
    <row r="573" spans="1:17" x14ac:dyDescent="0.3">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v>4.7619047620000003</v>
      </c>
      <c r="P573">
        <v>13.335000000000001</v>
      </c>
      <c r="Q573">
        <v>8.6</v>
      </c>
    </row>
    <row r="574" spans="1:17" x14ac:dyDescent="0.3">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v>8.3000000000000007</v>
      </c>
    </row>
    <row r="575" spans="1:17" x14ac:dyDescent="0.3">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v>8.1</v>
      </c>
    </row>
    <row r="576" spans="1:17" x14ac:dyDescent="0.3">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v>4.7619047620000003</v>
      </c>
      <c r="P576">
        <v>21.477499999999999</v>
      </c>
      <c r="Q576">
        <v>8.6</v>
      </c>
    </row>
    <row r="577" spans="1:17" x14ac:dyDescent="0.3">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v>6.3</v>
      </c>
    </row>
    <row r="578" spans="1:17" x14ac:dyDescent="0.3">
      <c r="A578" t="s">
        <v>612</v>
      </c>
      <c r="B578" t="s">
        <v>42</v>
      </c>
      <c r="C578" t="s">
        <v>43</v>
      </c>
      <c r="D578" t="s">
        <v>27</v>
      </c>
      <c r="E578" t="s">
        <v>31</v>
      </c>
      <c r="F578" t="s">
        <v>44</v>
      </c>
      <c r="G578">
        <v>60.3</v>
      </c>
      <c r="H578">
        <v>4</v>
      </c>
      <c r="I578">
        <v>12.06</v>
      </c>
      <c r="J578">
        <v>253.26</v>
      </c>
      <c r="K578" s="1">
        <v>43516</v>
      </c>
      <c r="L578" s="2">
        <v>0.77986111111111112</v>
      </c>
      <c r="M578" t="s">
        <v>29</v>
      </c>
      <c r="N578">
        <v>241.2</v>
      </c>
      <c r="O578">
        <v>4.7619047620000003</v>
      </c>
      <c r="P578">
        <v>12.06</v>
      </c>
      <c r="Q578">
        <v>5.8</v>
      </c>
    </row>
    <row r="579" spans="1:17" x14ac:dyDescent="0.3">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v>6.2</v>
      </c>
    </row>
    <row r="580" spans="1:17" x14ac:dyDescent="0.3">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v>7.7</v>
      </c>
    </row>
    <row r="581" spans="1:17" x14ac:dyDescent="0.3">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v>8.1</v>
      </c>
    </row>
    <row r="582" spans="1:17" x14ac:dyDescent="0.3">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v>7.3</v>
      </c>
    </row>
    <row r="583" spans="1:17" x14ac:dyDescent="0.3">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v>8.4</v>
      </c>
    </row>
    <row r="584" spans="1:17" x14ac:dyDescent="0.3">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v>8</v>
      </c>
    </row>
    <row r="585" spans="1:17" x14ac:dyDescent="0.3">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v>9.5</v>
      </c>
    </row>
    <row r="586" spans="1:17" x14ac:dyDescent="0.3">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v>7</v>
      </c>
    </row>
    <row r="587" spans="1:17" x14ac:dyDescent="0.3">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v>4.7619047620000003</v>
      </c>
      <c r="P587">
        <v>10.342000000000001</v>
      </c>
      <c r="Q587">
        <v>9.8000000000000007</v>
      </c>
    </row>
    <row r="588" spans="1:17" x14ac:dyDescent="0.3">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v>9.1999999999999993</v>
      </c>
    </row>
    <row r="589" spans="1:17" x14ac:dyDescent="0.3">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v>7.7</v>
      </c>
    </row>
    <row r="590" spans="1:17" x14ac:dyDescent="0.3">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v>5.3</v>
      </c>
    </row>
    <row r="591" spans="1:17" x14ac:dyDescent="0.3">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v>4.4000000000000004</v>
      </c>
    </row>
    <row r="592" spans="1:17" x14ac:dyDescent="0.3">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v>4.7619047620000003</v>
      </c>
      <c r="P593">
        <v>8.484</v>
      </c>
      <c r="Q593">
        <v>9.4</v>
      </c>
    </row>
    <row r="594" spans="1:17" x14ac:dyDescent="0.3">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v>9.8000000000000007</v>
      </c>
    </row>
    <row r="595" spans="1:17" x14ac:dyDescent="0.3">
      <c r="A595" t="s">
        <v>629</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v>4.8</v>
      </c>
    </row>
    <row r="596" spans="1:17" x14ac:dyDescent="0.3">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v>4.7619047620000003</v>
      </c>
      <c r="P596">
        <v>14.52</v>
      </c>
      <c r="Q596">
        <v>5.3</v>
      </c>
    </row>
    <row r="597" spans="1:17" x14ac:dyDescent="0.3">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v>8.6999999999999993</v>
      </c>
    </row>
    <row r="598" spans="1:17" x14ac:dyDescent="0.3">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v>9.5</v>
      </c>
    </row>
    <row r="599" spans="1:17" x14ac:dyDescent="0.3">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v>5.3</v>
      </c>
    </row>
    <row r="600" spans="1:17" x14ac:dyDescent="0.3">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v>9.1999999999999993</v>
      </c>
    </row>
    <row r="601" spans="1:17" x14ac:dyDescent="0.3">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v>9.6</v>
      </c>
    </row>
    <row r="602" spans="1:17" x14ac:dyDescent="0.3">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v>6.4</v>
      </c>
    </row>
    <row r="603" spans="1:17" x14ac:dyDescent="0.3">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v>4.5</v>
      </c>
    </row>
    <row r="604" spans="1:17" x14ac:dyDescent="0.3">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v>6.9</v>
      </c>
    </row>
    <row r="605" spans="1:17" x14ac:dyDescent="0.3">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v>7.8</v>
      </c>
    </row>
    <row r="606" spans="1:17" x14ac:dyDescent="0.3">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v>4.5</v>
      </c>
    </row>
    <row r="607" spans="1:17" x14ac:dyDescent="0.3">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v>8.6</v>
      </c>
    </row>
    <row r="608" spans="1:17" x14ac:dyDescent="0.3">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v>5.2</v>
      </c>
    </row>
    <row r="609" spans="1:17" x14ac:dyDescent="0.3">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v>4.7619047620000003</v>
      </c>
      <c r="P609">
        <v>9.9580000000000002</v>
      </c>
      <c r="Q609">
        <v>6.4</v>
      </c>
    </row>
    <row r="610" spans="1:17" x14ac:dyDescent="0.3">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v>4.7619047620000003</v>
      </c>
      <c r="P610">
        <v>1.5305</v>
      </c>
      <c r="Q610">
        <v>5.2</v>
      </c>
    </row>
    <row r="611" spans="1:17" x14ac:dyDescent="0.3">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v>4.7619047620000003</v>
      </c>
      <c r="P611">
        <v>5.7889999999999997</v>
      </c>
      <c r="Q611">
        <v>8.9</v>
      </c>
    </row>
    <row r="612" spans="1:17" x14ac:dyDescent="0.3">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v>4.7619047620000003</v>
      </c>
      <c r="P612">
        <v>1.448</v>
      </c>
      <c r="Q612">
        <v>6.2</v>
      </c>
    </row>
    <row r="613" spans="1:17" x14ac:dyDescent="0.3">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v>6.7</v>
      </c>
    </row>
    <row r="614" spans="1:17" x14ac:dyDescent="0.3">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v>7.2</v>
      </c>
    </row>
    <row r="615" spans="1:17" x14ac:dyDescent="0.3">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v>4.7619047620000003</v>
      </c>
      <c r="P615">
        <v>4.0465</v>
      </c>
      <c r="Q615">
        <v>9</v>
      </c>
    </row>
    <row r="616" spans="1:17" x14ac:dyDescent="0.3">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v>4.2</v>
      </c>
    </row>
    <row r="617" spans="1:17" x14ac:dyDescent="0.3">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v>4.2</v>
      </c>
    </row>
    <row r="618" spans="1:17" x14ac:dyDescent="0.3">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v>4.7619047620000003</v>
      </c>
      <c r="P618">
        <v>21.78</v>
      </c>
      <c r="Q618">
        <v>6.9</v>
      </c>
    </row>
    <row r="619" spans="1:17" x14ac:dyDescent="0.3">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v>4.7619047620000003</v>
      </c>
      <c r="P619">
        <v>21.977499999999999</v>
      </c>
      <c r="Q619">
        <v>4.4000000000000004</v>
      </c>
    </row>
    <row r="620" spans="1:17" x14ac:dyDescent="0.3">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v>4.7619047620000003</v>
      </c>
      <c r="P620">
        <v>29.559000000000001</v>
      </c>
      <c r="Q620">
        <v>4</v>
      </c>
    </row>
    <row r="621" spans="1:17" x14ac:dyDescent="0.3">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v>8.5</v>
      </c>
    </row>
    <row r="622" spans="1:17" x14ac:dyDescent="0.3">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v>9.1999999999999993</v>
      </c>
    </row>
    <row r="623" spans="1:17" x14ac:dyDescent="0.3">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v>4.7619047620000003</v>
      </c>
      <c r="P623">
        <v>4.5804999999999998</v>
      </c>
      <c r="Q623">
        <v>9.8000000000000007</v>
      </c>
    </row>
    <row r="624" spans="1:17" x14ac:dyDescent="0.3">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v>4.7619047620000003</v>
      </c>
      <c r="P624">
        <v>33.106499999999997</v>
      </c>
      <c r="Q624">
        <v>4.9000000000000004</v>
      </c>
    </row>
    <row r="625" spans="1:17" x14ac:dyDescent="0.3">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v>4.4000000000000004</v>
      </c>
    </row>
    <row r="626" spans="1:17" x14ac:dyDescent="0.3">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v>6.8</v>
      </c>
    </row>
    <row r="627" spans="1:17" x14ac:dyDescent="0.3">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v>9.1</v>
      </c>
    </row>
    <row r="628" spans="1:17" x14ac:dyDescent="0.3">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v>8.6999999999999993</v>
      </c>
    </row>
    <row r="629" spans="1:17" x14ac:dyDescent="0.3">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v>5</v>
      </c>
    </row>
    <row r="630" spans="1:17" x14ac:dyDescent="0.3">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v>7.5</v>
      </c>
    </row>
    <row r="631" spans="1:17" x14ac:dyDescent="0.3">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v>8.1999999999999993</v>
      </c>
    </row>
    <row r="632" spans="1:17" x14ac:dyDescent="0.3">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v>6.7</v>
      </c>
    </row>
    <row r="633" spans="1:17" x14ac:dyDescent="0.3">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v>5.4</v>
      </c>
    </row>
    <row r="634" spans="1:17" x14ac:dyDescent="0.3">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v>7</v>
      </c>
    </row>
    <row r="635" spans="1:17" x14ac:dyDescent="0.3">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v>4.7619047620000003</v>
      </c>
      <c r="P635">
        <v>14.955</v>
      </c>
      <c r="Q635">
        <v>4.7</v>
      </c>
    </row>
    <row r="636" spans="1:17" x14ac:dyDescent="0.3">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v>4.7619047620000003</v>
      </c>
      <c r="P636">
        <v>11.986499999999999</v>
      </c>
      <c r="Q636">
        <v>5</v>
      </c>
    </row>
    <row r="637" spans="1:17" x14ac:dyDescent="0.3">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v>5</v>
      </c>
    </row>
    <row r="638" spans="1:17" x14ac:dyDescent="0.3">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v>6.3</v>
      </c>
    </row>
    <row r="640" spans="1:17" x14ac:dyDescent="0.3">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v>4.7619047620000003</v>
      </c>
      <c r="P640">
        <v>4.4074999999999998</v>
      </c>
      <c r="Q640">
        <v>8.5</v>
      </c>
    </row>
    <row r="641" spans="1:17" x14ac:dyDescent="0.3">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v>4.7619047620000003</v>
      </c>
      <c r="P641">
        <v>7.8630000000000004</v>
      </c>
      <c r="Q641">
        <v>7.5</v>
      </c>
    </row>
    <row r="642" spans="1:17" x14ac:dyDescent="0.3">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v>6.4</v>
      </c>
    </row>
    <row r="643" spans="1:17" x14ac:dyDescent="0.3">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v>4.7</v>
      </c>
    </row>
    <row r="644" spans="1:17" x14ac:dyDescent="0.3">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v>6</v>
      </c>
    </row>
    <row r="645" spans="1:17" x14ac:dyDescent="0.3">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v>4</v>
      </c>
    </row>
    <row r="646" spans="1:17" x14ac:dyDescent="0.3">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v>5.5</v>
      </c>
    </row>
    <row r="647" spans="1:17" x14ac:dyDescent="0.3">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v>4.7619047620000003</v>
      </c>
      <c r="P647">
        <v>8.7119999999999997</v>
      </c>
      <c r="Q647">
        <v>8.6999999999999993</v>
      </c>
    </row>
    <row r="648" spans="1:17" x14ac:dyDescent="0.3">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v>7.4</v>
      </c>
    </row>
    <row r="649" spans="1:17" x14ac:dyDescent="0.3">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v>5.6</v>
      </c>
    </row>
    <row r="650" spans="1:17" x14ac:dyDescent="0.3">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v>6.3</v>
      </c>
    </row>
    <row r="651" spans="1:17" x14ac:dyDescent="0.3">
      <c r="A651" t="s">
        <v>685</v>
      </c>
      <c r="B651" t="s">
        <v>25</v>
      </c>
      <c r="C651" t="s">
        <v>26</v>
      </c>
      <c r="D651" t="s">
        <v>27</v>
      </c>
      <c r="E651" t="s">
        <v>31</v>
      </c>
      <c r="F651" t="s">
        <v>28</v>
      </c>
      <c r="G651">
        <v>24.74</v>
      </c>
      <c r="H651">
        <v>10</v>
      </c>
      <c r="I651">
        <v>12.37</v>
      </c>
      <c r="J651">
        <v>259.77</v>
      </c>
      <c r="K651" s="1">
        <v>43520</v>
      </c>
      <c r="L651" s="2">
        <v>0.69722222222222219</v>
      </c>
      <c r="M651" t="s">
        <v>29</v>
      </c>
      <c r="N651">
        <v>247.4</v>
      </c>
      <c r="O651">
        <v>4.7619047620000003</v>
      </c>
      <c r="P651">
        <v>12.37</v>
      </c>
      <c r="Q651">
        <v>7.1</v>
      </c>
    </row>
    <row r="652" spans="1:17" x14ac:dyDescent="0.3">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v>4.7619047620000003</v>
      </c>
      <c r="P652">
        <v>18.914999999999999</v>
      </c>
      <c r="Q652">
        <v>7.8</v>
      </c>
    </row>
    <row r="653" spans="1:17" x14ac:dyDescent="0.3">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v>9.9</v>
      </c>
    </row>
    <row r="654" spans="1:17" x14ac:dyDescent="0.3">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v>7.3</v>
      </c>
    </row>
    <row r="655" spans="1:17" x14ac:dyDescent="0.3">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v>5.0999999999999996</v>
      </c>
    </row>
    <row r="656" spans="1:17" x14ac:dyDescent="0.3">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v>9.4</v>
      </c>
    </row>
    <row r="657" spans="1:17" x14ac:dyDescent="0.3">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v>5.8</v>
      </c>
    </row>
    <row r="658" spans="1:17" x14ac:dyDescent="0.3">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v>4.7619047620000003</v>
      </c>
      <c r="P658">
        <v>4.9844999999999997</v>
      </c>
      <c r="Q658">
        <v>8</v>
      </c>
    </row>
    <row r="659" spans="1:17" x14ac:dyDescent="0.3">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v>7.9</v>
      </c>
    </row>
    <row r="660" spans="1:17" x14ac:dyDescent="0.3">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v>5.9</v>
      </c>
    </row>
    <row r="661" spans="1:17" x14ac:dyDescent="0.3">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v>4.7619047620000003</v>
      </c>
      <c r="P661">
        <v>2.7725</v>
      </c>
      <c r="Q661">
        <v>4.9000000000000004</v>
      </c>
    </row>
    <row r="662" spans="1:17" x14ac:dyDescent="0.3">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v>9.3000000000000007</v>
      </c>
    </row>
    <row r="663" spans="1:17" x14ac:dyDescent="0.3">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v>7.9</v>
      </c>
    </row>
    <row r="664" spans="1:17" x14ac:dyDescent="0.3">
      <c r="A664" t="s">
        <v>698</v>
      </c>
      <c r="B664" t="s">
        <v>42</v>
      </c>
      <c r="C664" t="s">
        <v>43</v>
      </c>
      <c r="D664" t="s">
        <v>20</v>
      </c>
      <c r="E664" t="s">
        <v>21</v>
      </c>
      <c r="F664" t="s">
        <v>46</v>
      </c>
      <c r="G664">
        <v>58.75</v>
      </c>
      <c r="H664">
        <v>6</v>
      </c>
      <c r="I664">
        <v>17.625</v>
      </c>
      <c r="J664">
        <v>370.125</v>
      </c>
      <c r="K664" s="1">
        <v>43548</v>
      </c>
      <c r="L664" s="2">
        <v>0.75972222222222219</v>
      </c>
      <c r="M664" t="s">
        <v>33</v>
      </c>
      <c r="N664">
        <v>352.5</v>
      </c>
      <c r="O664">
        <v>4.7619047620000003</v>
      </c>
      <c r="P664">
        <v>17.625</v>
      </c>
      <c r="Q664">
        <v>5.9</v>
      </c>
    </row>
    <row r="665" spans="1:17" x14ac:dyDescent="0.3">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v>9.9</v>
      </c>
    </row>
    <row r="666" spans="1:17" x14ac:dyDescent="0.3">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v>7.7</v>
      </c>
    </row>
    <row r="667" spans="1:17" x14ac:dyDescent="0.3">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v>7.6</v>
      </c>
    </row>
    <row r="668" spans="1:17" x14ac:dyDescent="0.3">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v>7.7</v>
      </c>
    </row>
    <row r="669" spans="1:17" x14ac:dyDescent="0.3">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v>6.4</v>
      </c>
    </row>
    <row r="670" spans="1:17" x14ac:dyDescent="0.3">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v>4.4000000000000004</v>
      </c>
    </row>
    <row r="671" spans="1:17" x14ac:dyDescent="0.3">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v>4.0999999999999996</v>
      </c>
    </row>
    <row r="672" spans="1:17" x14ac:dyDescent="0.3">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v>4.4000000000000004</v>
      </c>
    </row>
    <row r="673" spans="1:17" x14ac:dyDescent="0.3">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v>5.5</v>
      </c>
    </row>
    <row r="674" spans="1:17" x14ac:dyDescent="0.3">
      <c r="A674" t="s">
        <v>708</v>
      </c>
      <c r="B674" t="s">
        <v>42</v>
      </c>
      <c r="C674" t="s">
        <v>43</v>
      </c>
      <c r="D674" t="s">
        <v>27</v>
      </c>
      <c r="E674" t="s">
        <v>21</v>
      </c>
      <c r="F674" t="s">
        <v>22</v>
      </c>
      <c r="G674">
        <v>73.41</v>
      </c>
      <c r="H674">
        <v>3</v>
      </c>
      <c r="I674">
        <v>11.0115</v>
      </c>
      <c r="J674">
        <v>231.2415</v>
      </c>
      <c r="K674" s="1">
        <v>43526</v>
      </c>
      <c r="L674" s="2">
        <v>0.54861111111111116</v>
      </c>
      <c r="M674" t="s">
        <v>23</v>
      </c>
      <c r="N674">
        <v>220.23</v>
      </c>
      <c r="O674">
        <v>4.7619047620000003</v>
      </c>
      <c r="P674">
        <v>11.0115</v>
      </c>
      <c r="Q674">
        <v>4</v>
      </c>
    </row>
    <row r="675" spans="1:17" x14ac:dyDescent="0.3">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v>9.3000000000000007</v>
      </c>
    </row>
    <row r="676" spans="1:17" x14ac:dyDescent="0.3">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v>4.8</v>
      </c>
    </row>
    <row r="677" spans="1:17" x14ac:dyDescent="0.3">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v>4.7619047620000003</v>
      </c>
      <c r="P677">
        <v>8.3770000000000007</v>
      </c>
      <c r="Q677">
        <v>4.5999999999999996</v>
      </c>
    </row>
    <row r="678" spans="1:17" x14ac:dyDescent="0.3">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v>7.3</v>
      </c>
    </row>
    <row r="679" spans="1:17" x14ac:dyDescent="0.3">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v>6</v>
      </c>
    </row>
    <row r="680" spans="1:17" x14ac:dyDescent="0.3">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v>8.1</v>
      </c>
    </row>
    <row r="681" spans="1:17" x14ac:dyDescent="0.3">
      <c r="A681" t="s">
        <v>715</v>
      </c>
      <c r="B681" t="s">
        <v>18</v>
      </c>
      <c r="C681" t="s">
        <v>19</v>
      </c>
      <c r="D681" t="s">
        <v>20</v>
      </c>
      <c r="E681" t="s">
        <v>31</v>
      </c>
      <c r="F681" t="s">
        <v>44</v>
      </c>
      <c r="G681">
        <v>48.5</v>
      </c>
      <c r="H681">
        <v>6</v>
      </c>
      <c r="I681">
        <v>14.55</v>
      </c>
      <c r="J681">
        <v>305.55</v>
      </c>
      <c r="K681" s="1">
        <v>43476</v>
      </c>
      <c r="L681" s="2">
        <v>0.58125000000000004</v>
      </c>
      <c r="M681" t="s">
        <v>23</v>
      </c>
      <c r="N681">
        <v>291</v>
      </c>
      <c r="O681">
        <v>4.7619047620000003</v>
      </c>
      <c r="P681">
        <v>14.55</v>
      </c>
      <c r="Q681">
        <v>9.4</v>
      </c>
    </row>
    <row r="682" spans="1:17" x14ac:dyDescent="0.3">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v>6.5</v>
      </c>
    </row>
    <row r="683" spans="1:17" x14ac:dyDescent="0.3">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v>7</v>
      </c>
    </row>
    <row r="684" spans="1:17" x14ac:dyDescent="0.3">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v>4.7619047620000003</v>
      </c>
      <c r="P684">
        <v>14.795999999999999</v>
      </c>
      <c r="Q684">
        <v>7.1</v>
      </c>
    </row>
    <row r="685" spans="1:17" x14ac:dyDescent="0.3">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v>4.7619047620000003</v>
      </c>
      <c r="P685">
        <v>2.1480000000000001</v>
      </c>
      <c r="Q685">
        <v>6.6</v>
      </c>
    </row>
    <row r="686" spans="1:17" x14ac:dyDescent="0.3">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v>4.9000000000000004</v>
      </c>
    </row>
    <row r="687" spans="1:17" x14ac:dyDescent="0.3">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v>6.4</v>
      </c>
    </row>
    <row r="688" spans="1:17" x14ac:dyDescent="0.3">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v>4.7619047620000003</v>
      </c>
      <c r="P688">
        <v>6.4829999999999997</v>
      </c>
      <c r="Q688">
        <v>8</v>
      </c>
    </row>
    <row r="689" spans="1:17" x14ac:dyDescent="0.3">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v>4.3</v>
      </c>
    </row>
    <row r="690" spans="1:17" x14ac:dyDescent="0.3">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v>6.1</v>
      </c>
    </row>
    <row r="691" spans="1:17" x14ac:dyDescent="0.3">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v>7.5</v>
      </c>
    </row>
    <row r="692" spans="1:17" x14ac:dyDescent="0.3">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v>6.7</v>
      </c>
    </row>
    <row r="693" spans="1:17" x14ac:dyDescent="0.3">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v>5.2</v>
      </c>
    </row>
    <row r="694" spans="1:17" x14ac:dyDescent="0.3">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v>8.8000000000000007</v>
      </c>
    </row>
    <row r="695" spans="1:17" x14ac:dyDescent="0.3">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v>9.5</v>
      </c>
    </row>
    <row r="696" spans="1:17" x14ac:dyDescent="0.3">
      <c r="A696" t="s">
        <v>730</v>
      </c>
      <c r="B696" t="s">
        <v>25</v>
      </c>
      <c r="C696" t="s">
        <v>26</v>
      </c>
      <c r="D696" t="s">
        <v>27</v>
      </c>
      <c r="E696" t="s">
        <v>21</v>
      </c>
      <c r="F696" t="s">
        <v>44</v>
      </c>
      <c r="G696">
        <v>52.6</v>
      </c>
      <c r="H696">
        <v>9</v>
      </c>
      <c r="I696">
        <v>23.67</v>
      </c>
      <c r="J696">
        <v>497.07</v>
      </c>
      <c r="K696" s="1">
        <v>43481</v>
      </c>
      <c r="L696" s="2">
        <v>0.61250000000000004</v>
      </c>
      <c r="M696" t="s">
        <v>29</v>
      </c>
      <c r="N696">
        <v>473.4</v>
      </c>
      <c r="O696">
        <v>4.7619047620000003</v>
      </c>
      <c r="P696">
        <v>23.67</v>
      </c>
      <c r="Q696">
        <v>7.6</v>
      </c>
    </row>
    <row r="697" spans="1:17" x14ac:dyDescent="0.3">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v>6.6</v>
      </c>
    </row>
    <row r="698" spans="1:17" x14ac:dyDescent="0.3">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v>4.3</v>
      </c>
    </row>
    <row r="700" spans="1:17" x14ac:dyDescent="0.3">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v>7.8</v>
      </c>
    </row>
    <row r="701" spans="1:17" x14ac:dyDescent="0.3">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v>8</v>
      </c>
    </row>
    <row r="702" spans="1:17" x14ac:dyDescent="0.3">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v>4.7619047620000003</v>
      </c>
      <c r="P702">
        <v>24.164000000000001</v>
      </c>
      <c r="Q702">
        <v>9.6</v>
      </c>
    </row>
    <row r="703" spans="1:17" x14ac:dyDescent="0.3">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v>4.3</v>
      </c>
    </row>
    <row r="704" spans="1:17" x14ac:dyDescent="0.3">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v>5</v>
      </c>
    </row>
    <row r="705" spans="1:17" x14ac:dyDescent="0.3">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v>4.7619047620000003</v>
      </c>
      <c r="P705">
        <v>36.211500000000001</v>
      </c>
      <c r="Q705">
        <v>9.1999999999999993</v>
      </c>
    </row>
    <row r="706" spans="1:17" x14ac:dyDescent="0.3">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v>6.3</v>
      </c>
    </row>
    <row r="707" spans="1:17" x14ac:dyDescent="0.3">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v>8.9</v>
      </c>
    </row>
    <row r="708" spans="1:17" x14ac:dyDescent="0.3">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v>7.6</v>
      </c>
    </row>
    <row r="709" spans="1:17" x14ac:dyDescent="0.3">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v>4.7619047620000003</v>
      </c>
      <c r="P709">
        <v>3.4489999999999998</v>
      </c>
      <c r="Q709">
        <v>4.8</v>
      </c>
    </row>
    <row r="710" spans="1:17" x14ac:dyDescent="0.3">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v>4.7619047620000003</v>
      </c>
      <c r="P710">
        <v>6.2480000000000002</v>
      </c>
      <c r="Q710">
        <v>9.1</v>
      </c>
    </row>
    <row r="711" spans="1:17" x14ac:dyDescent="0.3">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v>6.1</v>
      </c>
    </row>
    <row r="712" spans="1:17" x14ac:dyDescent="0.3">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v>9.1</v>
      </c>
    </row>
    <row r="713" spans="1:17" x14ac:dyDescent="0.3">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v>8.3000000000000007</v>
      </c>
    </row>
    <row r="714" spans="1:17" x14ac:dyDescent="0.3">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v>7.2</v>
      </c>
    </row>
    <row r="715" spans="1:17" x14ac:dyDescent="0.3">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v>6</v>
      </c>
    </row>
    <row r="716" spans="1:17" x14ac:dyDescent="0.3">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v>8.5</v>
      </c>
    </row>
    <row r="717" spans="1:17" x14ac:dyDescent="0.3">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v>6.6</v>
      </c>
    </row>
    <row r="718" spans="1:17" x14ac:dyDescent="0.3">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v>4.7619047620000003</v>
      </c>
      <c r="P718">
        <v>25.010999999999999</v>
      </c>
      <c r="Q718">
        <v>4.5</v>
      </c>
    </row>
    <row r="719" spans="1:17" x14ac:dyDescent="0.3">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v>8.1</v>
      </c>
    </row>
    <row r="720" spans="1:17" x14ac:dyDescent="0.3">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v>7.2</v>
      </c>
    </row>
    <row r="721" spans="1:17" x14ac:dyDescent="0.3">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v>6.1</v>
      </c>
    </row>
    <row r="722" spans="1:17" x14ac:dyDescent="0.3">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v>5.0999999999999996</v>
      </c>
    </row>
    <row r="724" spans="1:17" x14ac:dyDescent="0.3">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v>7.9</v>
      </c>
    </row>
    <row r="725" spans="1:17" x14ac:dyDescent="0.3">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v>7.4</v>
      </c>
    </row>
    <row r="726" spans="1:17" x14ac:dyDescent="0.3">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v>7.4</v>
      </c>
    </row>
    <row r="727" spans="1:17" x14ac:dyDescent="0.3">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v>6.6</v>
      </c>
    </row>
    <row r="728" spans="1:17" x14ac:dyDescent="0.3">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v>5.9</v>
      </c>
    </row>
    <row r="729" spans="1:17" x14ac:dyDescent="0.3">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v>8.9</v>
      </c>
    </row>
    <row r="730" spans="1:17" x14ac:dyDescent="0.3">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v>6.8</v>
      </c>
    </row>
    <row r="731" spans="1:17" x14ac:dyDescent="0.3">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v>9.3000000000000007</v>
      </c>
    </row>
    <row r="732" spans="1:17" x14ac:dyDescent="0.3">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v>4.4000000000000004</v>
      </c>
    </row>
    <row r="733" spans="1:17" x14ac:dyDescent="0.3">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v>4.8</v>
      </c>
    </row>
    <row r="734" spans="1:17" x14ac:dyDescent="0.3">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v>9.5</v>
      </c>
    </row>
    <row r="735" spans="1:17" x14ac:dyDescent="0.3">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v>8.9</v>
      </c>
    </row>
    <row r="736" spans="1:17" x14ac:dyDescent="0.3">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v>6.4</v>
      </c>
    </row>
    <row r="737" spans="1:17" x14ac:dyDescent="0.3">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v>6</v>
      </c>
    </row>
    <row r="738" spans="1:17" x14ac:dyDescent="0.3">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v>8.1</v>
      </c>
    </row>
    <row r="739" spans="1:17" x14ac:dyDescent="0.3">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v>9</v>
      </c>
    </row>
    <row r="740" spans="1:17" x14ac:dyDescent="0.3">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v>4.7619047620000003</v>
      </c>
      <c r="P740">
        <v>36.624000000000002</v>
      </c>
      <c r="Q740">
        <v>6</v>
      </c>
    </row>
    <row r="741" spans="1:17" x14ac:dyDescent="0.3">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v>9.8000000000000007</v>
      </c>
    </row>
    <row r="742" spans="1:17" x14ac:dyDescent="0.3">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v>8.5</v>
      </c>
    </row>
    <row r="743" spans="1:17" x14ac:dyDescent="0.3">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v>4.7619047620000003</v>
      </c>
      <c r="P743">
        <v>4.2415000000000003</v>
      </c>
      <c r="Q743">
        <v>8.8000000000000007</v>
      </c>
    </row>
    <row r="744" spans="1:17" x14ac:dyDescent="0.3">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v>8.8000000000000007</v>
      </c>
    </row>
    <row r="745" spans="1:17" x14ac:dyDescent="0.3">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v>4.7619047620000003</v>
      </c>
      <c r="P745">
        <v>3.7690000000000001</v>
      </c>
      <c r="Q745">
        <v>9.5</v>
      </c>
    </row>
    <row r="746" spans="1:17" x14ac:dyDescent="0.3">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v>5.6</v>
      </c>
    </row>
    <row r="747" spans="1:17" x14ac:dyDescent="0.3">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v>4.7619047620000003</v>
      </c>
      <c r="P748">
        <v>32.615000000000002</v>
      </c>
      <c r="Q748">
        <v>5.2</v>
      </c>
    </row>
    <row r="749" spans="1:17" x14ac:dyDescent="0.3">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v>5.8</v>
      </c>
    </row>
    <row r="750" spans="1:17" x14ac:dyDescent="0.3">
      <c r="A750" t="s">
        <v>784</v>
      </c>
      <c r="B750" t="s">
        <v>42</v>
      </c>
      <c r="C750" t="s">
        <v>43</v>
      </c>
      <c r="D750" t="s">
        <v>20</v>
      </c>
      <c r="E750" t="s">
        <v>21</v>
      </c>
      <c r="F750" t="s">
        <v>32</v>
      </c>
      <c r="G750">
        <v>12.29</v>
      </c>
      <c r="H750">
        <v>9</v>
      </c>
      <c r="I750">
        <v>5.5305</v>
      </c>
      <c r="J750">
        <v>116.1405</v>
      </c>
      <c r="K750" s="1">
        <v>43550</v>
      </c>
      <c r="L750" s="2">
        <v>0.81111111111111112</v>
      </c>
      <c r="M750" t="s">
        <v>33</v>
      </c>
      <c r="N750">
        <v>110.61</v>
      </c>
      <c r="O750">
        <v>4.7619047620000003</v>
      </c>
      <c r="P750">
        <v>5.5305</v>
      </c>
      <c r="Q750">
        <v>8</v>
      </c>
    </row>
    <row r="751" spans="1:17" x14ac:dyDescent="0.3">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v>9</v>
      </c>
    </row>
    <row r="752" spans="1:17" x14ac:dyDescent="0.3">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v>4.7619047620000003</v>
      </c>
      <c r="P752">
        <v>4.4640000000000004</v>
      </c>
      <c r="Q752">
        <v>4.0999999999999996</v>
      </c>
    </row>
    <row r="753" spans="1:17" x14ac:dyDescent="0.3">
      <c r="A753" t="s">
        <v>787</v>
      </c>
      <c r="B753" t="s">
        <v>18</v>
      </c>
      <c r="C753" t="s">
        <v>19</v>
      </c>
      <c r="D753" t="s">
        <v>27</v>
      </c>
      <c r="E753" t="s">
        <v>21</v>
      </c>
      <c r="F753" t="s">
        <v>44</v>
      </c>
      <c r="G753">
        <v>27.28</v>
      </c>
      <c r="H753">
        <v>5</v>
      </c>
      <c r="I753">
        <v>6.82</v>
      </c>
      <c r="J753">
        <v>143.22</v>
      </c>
      <c r="K753" s="1">
        <v>43499</v>
      </c>
      <c r="L753" s="2">
        <v>0.43819444444444444</v>
      </c>
      <c r="M753" t="s">
        <v>33</v>
      </c>
      <c r="N753">
        <v>136.4</v>
      </c>
      <c r="O753">
        <v>4.7619047620000003</v>
      </c>
      <c r="P753">
        <v>6.82</v>
      </c>
      <c r="Q753">
        <v>8.6</v>
      </c>
    </row>
    <row r="754" spans="1:17" x14ac:dyDescent="0.3">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v>7</v>
      </c>
    </row>
    <row r="755" spans="1:17" x14ac:dyDescent="0.3">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v>8.4</v>
      </c>
    </row>
    <row r="756" spans="1:17" x14ac:dyDescent="0.3">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v>7.4</v>
      </c>
    </row>
    <row r="757" spans="1:17" x14ac:dyDescent="0.3">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v>6.2</v>
      </c>
    </row>
    <row r="758" spans="1:17" x14ac:dyDescent="0.3">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v>4.9000000000000004</v>
      </c>
    </row>
    <row r="759" spans="1:17" x14ac:dyDescent="0.3">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v>4.5</v>
      </c>
    </row>
    <row r="760" spans="1:17" x14ac:dyDescent="0.3">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v>4.7619047620000003</v>
      </c>
      <c r="P760">
        <v>9.4250000000000007</v>
      </c>
      <c r="Q760">
        <v>5.6</v>
      </c>
    </row>
    <row r="761" spans="1:17" x14ac:dyDescent="0.3">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v>8</v>
      </c>
    </row>
    <row r="762" spans="1:17" x14ac:dyDescent="0.3">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v>5.6</v>
      </c>
    </row>
    <row r="763" spans="1:17" x14ac:dyDescent="0.3">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v>4.2</v>
      </c>
    </row>
    <row r="764" spans="1:17" x14ac:dyDescent="0.3">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v>9.9</v>
      </c>
    </row>
    <row r="765" spans="1:17" x14ac:dyDescent="0.3">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v>7.6</v>
      </c>
    </row>
    <row r="766" spans="1:17" x14ac:dyDescent="0.3">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v>6.6</v>
      </c>
    </row>
    <row r="767" spans="1:17" x14ac:dyDescent="0.3">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v>4.7619047620000003</v>
      </c>
      <c r="P767">
        <v>38.183999999999997</v>
      </c>
      <c r="Q767">
        <v>4.7</v>
      </c>
    </row>
    <row r="768" spans="1:17" x14ac:dyDescent="0.3">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v>9.8000000000000007</v>
      </c>
    </row>
    <row r="769" spans="1:17" x14ac:dyDescent="0.3">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v>4.7619047620000003</v>
      </c>
      <c r="P769">
        <v>4.1070000000000002</v>
      </c>
      <c r="Q769">
        <v>6.3</v>
      </c>
    </row>
    <row r="770" spans="1:17" x14ac:dyDescent="0.3">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v>7.9</v>
      </c>
    </row>
    <row r="771" spans="1:17" x14ac:dyDescent="0.3">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v>7.7</v>
      </c>
    </row>
    <row r="772" spans="1:17" x14ac:dyDescent="0.3">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v>4.5</v>
      </c>
    </row>
    <row r="773" spans="1:17" x14ac:dyDescent="0.3">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v>8</v>
      </c>
    </row>
    <row r="774" spans="1:17" x14ac:dyDescent="0.3">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v>5.7</v>
      </c>
    </row>
    <row r="775" spans="1:17" x14ac:dyDescent="0.3">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v>6.3</v>
      </c>
    </row>
    <row r="776" spans="1:17" x14ac:dyDescent="0.3">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v>6</v>
      </c>
    </row>
    <row r="777" spans="1:17" x14ac:dyDescent="0.3">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v>8</v>
      </c>
    </row>
    <row r="778" spans="1:17" x14ac:dyDescent="0.3">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v>4.7619047620000003</v>
      </c>
      <c r="P778">
        <v>22.858499999999999</v>
      </c>
      <c r="Q778">
        <v>4.2</v>
      </c>
    </row>
    <row r="779" spans="1:17" x14ac:dyDescent="0.3">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v>4.7619047620000003</v>
      </c>
      <c r="P779">
        <v>4.6689999999999996</v>
      </c>
      <c r="Q779">
        <v>9.6</v>
      </c>
    </row>
    <row r="780" spans="1:17" x14ac:dyDescent="0.3">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v>6.1</v>
      </c>
    </row>
    <row r="781" spans="1:17" x14ac:dyDescent="0.3">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v>4.7619047620000003</v>
      </c>
      <c r="P781">
        <v>39.541499999999999</v>
      </c>
      <c r="Q781">
        <v>5.6</v>
      </c>
    </row>
    <row r="782" spans="1:17" x14ac:dyDescent="0.3">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v>4.7619047620000003</v>
      </c>
      <c r="P782">
        <v>8.7200000000000006</v>
      </c>
      <c r="Q782">
        <v>8.3000000000000007</v>
      </c>
    </row>
    <row r="783" spans="1:17" x14ac:dyDescent="0.3">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v>7.8</v>
      </c>
    </row>
    <row r="784" spans="1:17" x14ac:dyDescent="0.3">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v>4.0999999999999996</v>
      </c>
    </row>
    <row r="785" spans="1:17" x14ac:dyDescent="0.3">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v>4.0999999999999996</v>
      </c>
    </row>
    <row r="787" spans="1:17" x14ac:dyDescent="0.3">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v>4.7619047620000003</v>
      </c>
      <c r="P787">
        <v>26.103000000000002</v>
      </c>
      <c r="Q787">
        <v>9</v>
      </c>
    </row>
    <row r="788" spans="1:17" x14ac:dyDescent="0.3">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v>5.5</v>
      </c>
    </row>
    <row r="789" spans="1:17" x14ac:dyDescent="0.3">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v>4.7619047620000003</v>
      </c>
      <c r="P789">
        <v>2.7475000000000001</v>
      </c>
      <c r="Q789">
        <v>9.3000000000000007</v>
      </c>
    </row>
    <row r="790" spans="1:17" x14ac:dyDescent="0.3">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v>5.6</v>
      </c>
    </row>
    <row r="791" spans="1:17" x14ac:dyDescent="0.3">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v>9.6999999999999993</v>
      </c>
    </row>
    <row r="792" spans="1:17" x14ac:dyDescent="0.3">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v>4.7619047620000003</v>
      </c>
      <c r="P793">
        <v>13.71</v>
      </c>
      <c r="Q793">
        <v>9.1999999999999993</v>
      </c>
    </row>
    <row r="794" spans="1:17" x14ac:dyDescent="0.3">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v>4.7619047620000003</v>
      </c>
      <c r="P794">
        <v>48.685000000000002</v>
      </c>
      <c r="Q794">
        <v>4.9000000000000004</v>
      </c>
    </row>
    <row r="795" spans="1:17" x14ac:dyDescent="0.3">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v>9.3000000000000007</v>
      </c>
    </row>
    <row r="796" spans="1:17" x14ac:dyDescent="0.3">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v>6.6</v>
      </c>
    </row>
    <row r="797" spans="1:17" x14ac:dyDescent="0.3">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v>4.3</v>
      </c>
    </row>
    <row r="798" spans="1:17" x14ac:dyDescent="0.3">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v>5.5</v>
      </c>
    </row>
    <row r="799" spans="1:17" x14ac:dyDescent="0.3">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v>8.1</v>
      </c>
    </row>
    <row r="800" spans="1:17" x14ac:dyDescent="0.3">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v>9.8000000000000007</v>
      </c>
    </row>
    <row r="801" spans="1:17" x14ac:dyDescent="0.3">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v>9.4</v>
      </c>
    </row>
    <row r="802" spans="1:17" x14ac:dyDescent="0.3">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v>7.9</v>
      </c>
    </row>
    <row r="803" spans="1:17" x14ac:dyDescent="0.3">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v>6.9</v>
      </c>
    </row>
    <row r="805" spans="1:17" x14ac:dyDescent="0.3">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v>4.7619047620000003</v>
      </c>
      <c r="P805">
        <v>22.032</v>
      </c>
      <c r="Q805">
        <v>8</v>
      </c>
    </row>
    <row r="806" spans="1:17" x14ac:dyDescent="0.3">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v>8</v>
      </c>
    </row>
    <row r="807" spans="1:17" x14ac:dyDescent="0.3">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v>4.7619047620000003</v>
      </c>
      <c r="P807">
        <v>15.494</v>
      </c>
      <c r="Q807">
        <v>4.2</v>
      </c>
    </row>
    <row r="808" spans="1:17" x14ac:dyDescent="0.3">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v>8.5</v>
      </c>
    </row>
    <row r="809" spans="1:17" x14ac:dyDescent="0.3">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v>9</v>
      </c>
    </row>
    <row r="810" spans="1:17" x14ac:dyDescent="0.3">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v>8.6</v>
      </c>
    </row>
    <row r="811" spans="1:17" x14ac:dyDescent="0.3">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v>4.7619047620000003</v>
      </c>
      <c r="P811">
        <v>31.09</v>
      </c>
      <c r="Q811">
        <v>6</v>
      </c>
    </row>
    <row r="812" spans="1:17" x14ac:dyDescent="0.3">
      <c r="A812" t="s">
        <v>846</v>
      </c>
      <c r="B812" t="s">
        <v>42</v>
      </c>
      <c r="C812" t="s">
        <v>43</v>
      </c>
      <c r="D812" t="s">
        <v>27</v>
      </c>
      <c r="E812" t="s">
        <v>31</v>
      </c>
      <c r="F812" t="s">
        <v>22</v>
      </c>
      <c r="G812">
        <v>10.75</v>
      </c>
      <c r="H812">
        <v>8</v>
      </c>
      <c r="I812">
        <v>4.3</v>
      </c>
      <c r="J812">
        <v>90.3</v>
      </c>
      <c r="K812" s="1">
        <v>43539</v>
      </c>
      <c r="L812" s="2">
        <v>0.60972222222222228</v>
      </c>
      <c r="M812" t="s">
        <v>23</v>
      </c>
      <c r="N812">
        <v>86</v>
      </c>
      <c r="O812">
        <v>4.7619047620000003</v>
      </c>
      <c r="P812">
        <v>4.3</v>
      </c>
      <c r="Q812">
        <v>6.2</v>
      </c>
    </row>
    <row r="813" spans="1:17" x14ac:dyDescent="0.3">
      <c r="A813" t="s">
        <v>847</v>
      </c>
      <c r="B813" t="s">
        <v>18</v>
      </c>
      <c r="C813" t="s">
        <v>19</v>
      </c>
      <c r="D813" t="s">
        <v>27</v>
      </c>
      <c r="E813" t="s">
        <v>21</v>
      </c>
      <c r="F813" t="s">
        <v>28</v>
      </c>
      <c r="G813">
        <v>40.26</v>
      </c>
      <c r="H813">
        <v>10</v>
      </c>
      <c r="I813">
        <v>20.13</v>
      </c>
      <c r="J813">
        <v>422.73</v>
      </c>
      <c r="K813" s="1">
        <v>43520</v>
      </c>
      <c r="L813" s="2">
        <v>0.75416666666666665</v>
      </c>
      <c r="M813" t="s">
        <v>33</v>
      </c>
      <c r="N813">
        <v>402.6</v>
      </c>
      <c r="O813">
        <v>4.7619047620000003</v>
      </c>
      <c r="P813">
        <v>20.13</v>
      </c>
      <c r="Q813">
        <v>5</v>
      </c>
    </row>
    <row r="814" spans="1:17" x14ac:dyDescent="0.3">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v>6.5</v>
      </c>
    </row>
    <row r="815" spans="1:17" x14ac:dyDescent="0.3">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v>6</v>
      </c>
    </row>
    <row r="816" spans="1:17" x14ac:dyDescent="0.3">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v>5</v>
      </c>
    </row>
    <row r="817" spans="1:17" x14ac:dyDescent="0.3">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v>5</v>
      </c>
    </row>
    <row r="818" spans="1:17" x14ac:dyDescent="0.3">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v>9.1999999999999993</v>
      </c>
    </row>
    <row r="819" spans="1:17" x14ac:dyDescent="0.3">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v>4.7619047620000003</v>
      </c>
      <c r="P819">
        <v>13.552</v>
      </c>
      <c r="Q819">
        <v>9.6</v>
      </c>
    </row>
    <row r="820" spans="1:17" x14ac:dyDescent="0.3">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v>8.4</v>
      </c>
    </row>
    <row r="821" spans="1:17" x14ac:dyDescent="0.3">
      <c r="A821" t="s">
        <v>855</v>
      </c>
      <c r="B821" t="s">
        <v>42</v>
      </c>
      <c r="C821" t="s">
        <v>43</v>
      </c>
      <c r="D821" t="s">
        <v>20</v>
      </c>
      <c r="E821" t="s">
        <v>31</v>
      </c>
      <c r="F821" t="s">
        <v>44</v>
      </c>
      <c r="G821">
        <v>47.16</v>
      </c>
      <c r="H821">
        <v>5</v>
      </c>
      <c r="I821">
        <v>11.79</v>
      </c>
      <c r="J821">
        <v>247.59</v>
      </c>
      <c r="K821" s="1">
        <v>43499</v>
      </c>
      <c r="L821" s="2">
        <v>0.60763888888888884</v>
      </c>
      <c r="M821" t="s">
        <v>33</v>
      </c>
      <c r="N821">
        <v>235.8</v>
      </c>
      <c r="O821">
        <v>4.7619047620000003</v>
      </c>
      <c r="P821">
        <v>11.79</v>
      </c>
      <c r="Q821">
        <v>6</v>
      </c>
    </row>
    <row r="822" spans="1:17" x14ac:dyDescent="0.3">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v>4.7619047620000003</v>
      </c>
      <c r="P822">
        <v>10.577999999999999</v>
      </c>
      <c r="Q822">
        <v>6.7</v>
      </c>
    </row>
    <row r="823" spans="1:17" x14ac:dyDescent="0.3">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v>4.0999999999999996</v>
      </c>
    </row>
    <row r="824" spans="1:17" x14ac:dyDescent="0.3">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v>5.9</v>
      </c>
    </row>
    <row r="825" spans="1:17" x14ac:dyDescent="0.3">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v>8.6999999999999993</v>
      </c>
    </row>
    <row r="826" spans="1:17" x14ac:dyDescent="0.3">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v>4.5</v>
      </c>
    </row>
    <row r="827" spans="1:17" x14ac:dyDescent="0.3">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v>6.6</v>
      </c>
    </row>
    <row r="828" spans="1:17" x14ac:dyDescent="0.3">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v>4.7619047620000003</v>
      </c>
      <c r="P828">
        <v>32.4495</v>
      </c>
      <c r="Q828">
        <v>7.7</v>
      </c>
    </row>
    <row r="829" spans="1:17" x14ac:dyDescent="0.3">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v>8.5</v>
      </c>
    </row>
    <row r="830" spans="1:17" x14ac:dyDescent="0.3">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v>4.7619047620000003</v>
      </c>
      <c r="P830">
        <v>32.475000000000001</v>
      </c>
      <c r="Q830">
        <v>5.2</v>
      </c>
    </row>
    <row r="831" spans="1:17" x14ac:dyDescent="0.3">
      <c r="A831" t="s">
        <v>865</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v>4.7619047620000003</v>
      </c>
      <c r="P832">
        <v>4.2240000000000002</v>
      </c>
      <c r="Q832">
        <v>7.6</v>
      </c>
    </row>
    <row r="833" spans="1:17" x14ac:dyDescent="0.3">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v>9.5</v>
      </c>
    </row>
    <row r="834" spans="1:17" x14ac:dyDescent="0.3">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v>4.0999999999999996</v>
      </c>
    </row>
    <row r="835" spans="1:17" x14ac:dyDescent="0.3">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v>4.7619047620000003</v>
      </c>
      <c r="P835">
        <v>4.5650000000000004</v>
      </c>
      <c r="Q835">
        <v>9.1999999999999993</v>
      </c>
    </row>
    <row r="836" spans="1:17" x14ac:dyDescent="0.3">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v>4.7619047620000003</v>
      </c>
      <c r="P836">
        <v>14.2555</v>
      </c>
      <c r="Q836">
        <v>5.4</v>
      </c>
    </row>
    <row r="837" spans="1:17" x14ac:dyDescent="0.3">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v>4.7619047620000003</v>
      </c>
      <c r="P837">
        <v>2.6190000000000002</v>
      </c>
      <c r="Q837">
        <v>5.8</v>
      </c>
    </row>
    <row r="838" spans="1:17" x14ac:dyDescent="0.3">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v>5.6</v>
      </c>
    </row>
    <row r="839" spans="1:17" x14ac:dyDescent="0.3">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v>5.0999999999999996</v>
      </c>
    </row>
    <row r="840" spans="1:17" x14ac:dyDescent="0.3">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v>5.8</v>
      </c>
    </row>
    <row r="841" spans="1:17" x14ac:dyDescent="0.3">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v>7.9</v>
      </c>
    </row>
    <row r="843" spans="1:17" x14ac:dyDescent="0.3">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v>4.7619047620000003</v>
      </c>
      <c r="P843">
        <v>3.0150000000000001</v>
      </c>
      <c r="Q843">
        <v>6</v>
      </c>
    </row>
    <row r="844" spans="1:17" x14ac:dyDescent="0.3">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v>4.7619047620000003</v>
      </c>
      <c r="P844">
        <v>3.9470000000000001</v>
      </c>
      <c r="Q844">
        <v>5</v>
      </c>
    </row>
    <row r="845" spans="1:17" x14ac:dyDescent="0.3">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v>8.9</v>
      </c>
    </row>
    <row r="846" spans="1:17" x14ac:dyDescent="0.3">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v>5.9</v>
      </c>
    </row>
    <row r="847" spans="1:17" x14ac:dyDescent="0.3">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v>5.9</v>
      </c>
    </row>
    <row r="848" spans="1:17" x14ac:dyDescent="0.3">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v>9.6999999999999993</v>
      </c>
    </row>
    <row r="849" spans="1:17" x14ac:dyDescent="0.3">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v>8.6</v>
      </c>
    </row>
    <row r="850" spans="1:17" x14ac:dyDescent="0.3">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v>4</v>
      </c>
    </row>
    <row r="851" spans="1:17" x14ac:dyDescent="0.3">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v>4.2</v>
      </c>
    </row>
    <row r="852" spans="1:17" x14ac:dyDescent="0.3">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v>9.1999999999999993</v>
      </c>
    </row>
    <row r="853" spans="1:17" x14ac:dyDescent="0.3">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v>9.1999999999999993</v>
      </c>
    </row>
    <row r="854" spans="1:17" x14ac:dyDescent="0.3">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v>5</v>
      </c>
    </row>
    <row r="855" spans="1:17" x14ac:dyDescent="0.3">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v>10</v>
      </c>
    </row>
    <row r="856" spans="1:17" x14ac:dyDescent="0.3">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v>8.8000000000000007</v>
      </c>
    </row>
    <row r="857" spans="1:17" x14ac:dyDescent="0.3">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v>4.2</v>
      </c>
    </row>
    <row r="858" spans="1:17" x14ac:dyDescent="0.3">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v>4.7619047620000003</v>
      </c>
      <c r="P859">
        <v>5.6619999999999999</v>
      </c>
      <c r="Q859">
        <v>8.1999999999999993</v>
      </c>
    </row>
    <row r="860" spans="1:17" x14ac:dyDescent="0.3">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v>5.0999999999999996</v>
      </c>
    </row>
    <row r="861" spans="1:17" x14ac:dyDescent="0.3">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v>5</v>
      </c>
    </row>
    <row r="862" spans="1:17" x14ac:dyDescent="0.3">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v>7</v>
      </c>
    </row>
    <row r="863" spans="1:17" x14ac:dyDescent="0.3">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v>4.7619047620000003</v>
      </c>
      <c r="P863">
        <v>1.276</v>
      </c>
      <c r="Q863">
        <v>7.8</v>
      </c>
    </row>
    <row r="864" spans="1:17" x14ac:dyDescent="0.3">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v>4.7619047620000003</v>
      </c>
      <c r="P864">
        <v>5.0759999999999996</v>
      </c>
      <c r="Q864">
        <v>4.3</v>
      </c>
    </row>
    <row r="865" spans="1:17" x14ac:dyDescent="0.3">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v>7</v>
      </c>
    </row>
    <row r="866" spans="1:17" x14ac:dyDescent="0.3">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v>6.6</v>
      </c>
    </row>
    <row r="867" spans="1:17" x14ac:dyDescent="0.3">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v>7.3</v>
      </c>
    </row>
    <row r="868" spans="1:17" x14ac:dyDescent="0.3">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v>6.5</v>
      </c>
    </row>
    <row r="869" spans="1:17" x14ac:dyDescent="0.3">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v>4.9000000000000004</v>
      </c>
    </row>
    <row r="870" spans="1:17" x14ac:dyDescent="0.3">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v>4.7619047620000003</v>
      </c>
      <c r="P870">
        <v>3.6465000000000001</v>
      </c>
      <c r="Q870">
        <v>4.3</v>
      </c>
    </row>
    <row r="871" spans="1:17" x14ac:dyDescent="0.3">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v>9.3000000000000007</v>
      </c>
    </row>
    <row r="872" spans="1:17" x14ac:dyDescent="0.3">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v>4.7619047620000003</v>
      </c>
      <c r="P872">
        <v>8.6869999999999994</v>
      </c>
      <c r="Q872">
        <v>7.1</v>
      </c>
    </row>
    <row r="873" spans="1:17" x14ac:dyDescent="0.3">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v>9.6</v>
      </c>
    </row>
    <row r="874" spans="1:17" x14ac:dyDescent="0.3">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v>6.2</v>
      </c>
    </row>
    <row r="875" spans="1:17" x14ac:dyDescent="0.3">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v>9.9</v>
      </c>
    </row>
    <row r="876" spans="1:17" x14ac:dyDescent="0.3">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v>5.9</v>
      </c>
    </row>
    <row r="877" spans="1:17" x14ac:dyDescent="0.3">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v>6.3</v>
      </c>
    </row>
    <row r="878" spans="1:17" x14ac:dyDescent="0.3">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v>4</v>
      </c>
    </row>
    <row r="879" spans="1:17" x14ac:dyDescent="0.3">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v>6.1</v>
      </c>
    </row>
    <row r="880" spans="1:17" x14ac:dyDescent="0.3">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v>4.7619047620000003</v>
      </c>
      <c r="P880">
        <v>36.008000000000003</v>
      </c>
      <c r="Q880">
        <v>4.5</v>
      </c>
    </row>
    <row r="881" spans="1:17" x14ac:dyDescent="0.3">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v>8.6</v>
      </c>
    </row>
    <row r="882" spans="1:17" x14ac:dyDescent="0.3">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v>6</v>
      </c>
    </row>
    <row r="883" spans="1:17" x14ac:dyDescent="0.3">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v>9.5</v>
      </c>
    </row>
    <row r="884" spans="1:17" x14ac:dyDescent="0.3">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v>4.7619047620000003</v>
      </c>
      <c r="P884">
        <v>15.994999999999999</v>
      </c>
      <c r="Q884">
        <v>9.9</v>
      </c>
    </row>
    <row r="885" spans="1:17" x14ac:dyDescent="0.3">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v>7.5</v>
      </c>
    </row>
    <row r="886" spans="1:17" x14ac:dyDescent="0.3">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v>7.6</v>
      </c>
    </row>
    <row r="887" spans="1:17" x14ac:dyDescent="0.3">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v>5</v>
      </c>
    </row>
    <row r="888" spans="1:17" x14ac:dyDescent="0.3">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v>6.7</v>
      </c>
    </row>
    <row r="889" spans="1:17" x14ac:dyDescent="0.3">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v>9.5</v>
      </c>
    </row>
    <row r="890" spans="1:17" x14ac:dyDescent="0.3">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v>6.8</v>
      </c>
    </row>
    <row r="891" spans="1:17" x14ac:dyDescent="0.3">
      <c r="A891" t="s">
        <v>925</v>
      </c>
      <c r="B891" t="s">
        <v>18</v>
      </c>
      <c r="C891" t="s">
        <v>19</v>
      </c>
      <c r="D891" t="s">
        <v>20</v>
      </c>
      <c r="E891" t="s">
        <v>31</v>
      </c>
      <c r="F891" t="s">
        <v>36</v>
      </c>
      <c r="G891">
        <v>76.92</v>
      </c>
      <c r="H891">
        <v>10</v>
      </c>
      <c r="I891">
        <v>38.46</v>
      </c>
      <c r="J891">
        <v>807.66</v>
      </c>
      <c r="K891" s="1">
        <v>43541</v>
      </c>
      <c r="L891" s="2">
        <v>0.82847222222222228</v>
      </c>
      <c r="M891" t="s">
        <v>23</v>
      </c>
      <c r="N891">
        <v>769.2</v>
      </c>
      <c r="O891">
        <v>4.7619047620000003</v>
      </c>
      <c r="P891">
        <v>38.46</v>
      </c>
      <c r="Q891">
        <v>5.6</v>
      </c>
    </row>
    <row r="892" spans="1:17" x14ac:dyDescent="0.3">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v>7.2</v>
      </c>
    </row>
    <row r="893" spans="1:17" x14ac:dyDescent="0.3">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v>8.1</v>
      </c>
    </row>
    <row r="894" spans="1:17" x14ac:dyDescent="0.3">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v>8.6</v>
      </c>
    </row>
    <row r="895" spans="1:17" x14ac:dyDescent="0.3">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v>9.4</v>
      </c>
    </row>
    <row r="896" spans="1:17" x14ac:dyDescent="0.3">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v>4.7619047620000003</v>
      </c>
      <c r="P896">
        <v>15.135</v>
      </c>
      <c r="Q896">
        <v>8.9</v>
      </c>
    </row>
    <row r="897" spans="1:17" x14ac:dyDescent="0.3">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v>4.2</v>
      </c>
    </row>
    <row r="898" spans="1:17" x14ac:dyDescent="0.3">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v>5</v>
      </c>
    </row>
    <row r="899" spans="1:17" x14ac:dyDescent="0.3">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v>8.8000000000000007</v>
      </c>
    </row>
    <row r="900" spans="1:17" x14ac:dyDescent="0.3">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v>4.7619047620000003</v>
      </c>
      <c r="P900">
        <v>29.96</v>
      </c>
      <c r="Q900">
        <v>5.3</v>
      </c>
    </row>
    <row r="901" spans="1:17" x14ac:dyDescent="0.3">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v>4.5999999999999996</v>
      </c>
    </row>
    <row r="902" spans="1:17" x14ac:dyDescent="0.3">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v>7.5</v>
      </c>
    </row>
    <row r="903" spans="1:17" x14ac:dyDescent="0.3">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v>5.0999999999999996</v>
      </c>
    </row>
    <row r="904" spans="1:17" x14ac:dyDescent="0.3">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v>4.7619047620000003</v>
      </c>
      <c r="P904">
        <v>6.9325000000000001</v>
      </c>
      <c r="Q904">
        <v>4.2</v>
      </c>
    </row>
    <row r="905" spans="1:17" x14ac:dyDescent="0.3">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v>8.1</v>
      </c>
    </row>
    <row r="906" spans="1:17" x14ac:dyDescent="0.3">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v>6</v>
      </c>
    </row>
    <row r="907" spans="1:17" x14ac:dyDescent="0.3">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v>7.9</v>
      </c>
    </row>
    <row r="908" spans="1:17" x14ac:dyDescent="0.3">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v>8.8000000000000007</v>
      </c>
    </row>
    <row r="909" spans="1:17" x14ac:dyDescent="0.3">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v>6.6</v>
      </c>
    </row>
    <row r="910" spans="1:17" x14ac:dyDescent="0.3">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v>6.2</v>
      </c>
    </row>
    <row r="911" spans="1:17" x14ac:dyDescent="0.3">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v>4.7619047620000003</v>
      </c>
      <c r="P911">
        <v>24.504999999999999</v>
      </c>
      <c r="Q911">
        <v>4.2</v>
      </c>
    </row>
    <row r="912" spans="1:17" x14ac:dyDescent="0.3">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v>4.7619047620000003</v>
      </c>
      <c r="P912">
        <v>4.3724999999999996</v>
      </c>
      <c r="Q912">
        <v>7.3</v>
      </c>
    </row>
    <row r="913" spans="1:17" x14ac:dyDescent="0.3">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v>8.6</v>
      </c>
    </row>
    <row r="914" spans="1:17" x14ac:dyDescent="0.3">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v>6.8</v>
      </c>
    </row>
    <row r="915" spans="1:17" x14ac:dyDescent="0.3">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v>7.6</v>
      </c>
    </row>
    <row r="916" spans="1:17" x14ac:dyDescent="0.3">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v>5.8</v>
      </c>
    </row>
    <row r="917" spans="1:17" x14ac:dyDescent="0.3">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v>9.3000000000000007</v>
      </c>
    </row>
    <row r="919" spans="1:17" x14ac:dyDescent="0.3">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v>6.8</v>
      </c>
    </row>
    <row r="920" spans="1:17" x14ac:dyDescent="0.3">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v>4.7619047620000003</v>
      </c>
      <c r="P920">
        <v>10.345499999999999</v>
      </c>
      <c r="Q920">
        <v>8.6999999999999993</v>
      </c>
    </row>
    <row r="921" spans="1:17" x14ac:dyDescent="0.3">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v>6.3</v>
      </c>
    </row>
    <row r="922" spans="1:17" x14ac:dyDescent="0.3">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v>5.0999999999999996</v>
      </c>
    </row>
    <row r="923" spans="1:17" x14ac:dyDescent="0.3">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v>7</v>
      </c>
    </row>
    <row r="924" spans="1:17" x14ac:dyDescent="0.3">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v>5.2</v>
      </c>
    </row>
    <row r="925" spans="1:17" x14ac:dyDescent="0.3">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v>4.7619047620000003</v>
      </c>
      <c r="P925">
        <v>29.099</v>
      </c>
      <c r="Q925">
        <v>6.6</v>
      </c>
    </row>
    <row r="926" spans="1:17" x14ac:dyDescent="0.3">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v>6.5</v>
      </c>
    </row>
    <row r="927" spans="1:17" x14ac:dyDescent="0.3">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v>9</v>
      </c>
    </row>
    <row r="928" spans="1:17" x14ac:dyDescent="0.3">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v>4.7619047620000003</v>
      </c>
      <c r="P928">
        <v>4.4154999999999998</v>
      </c>
      <c r="Q928">
        <v>5.2</v>
      </c>
    </row>
    <row r="929" spans="1:17" x14ac:dyDescent="0.3">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v>4.7619047620000003</v>
      </c>
      <c r="P929">
        <v>17.829000000000001</v>
      </c>
      <c r="Q929">
        <v>6.8</v>
      </c>
    </row>
    <row r="930" spans="1:17" x14ac:dyDescent="0.3">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v>7.6</v>
      </c>
    </row>
    <row r="931" spans="1:17" x14ac:dyDescent="0.3">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v>7.2</v>
      </c>
    </row>
    <row r="932" spans="1:17" x14ac:dyDescent="0.3">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v>7.1</v>
      </c>
    </row>
    <row r="933" spans="1:17" x14ac:dyDescent="0.3">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v>5.0999999999999996</v>
      </c>
    </row>
    <row r="935" spans="1:17" x14ac:dyDescent="0.3">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v>4.7619047620000003</v>
      </c>
      <c r="P935">
        <v>22.428000000000001</v>
      </c>
      <c r="Q935">
        <v>7.6</v>
      </c>
    </row>
    <row r="936" spans="1:17" x14ac:dyDescent="0.3">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v>9.8000000000000007</v>
      </c>
    </row>
    <row r="937" spans="1:17" x14ac:dyDescent="0.3">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v>5.0999999999999996</v>
      </c>
    </row>
    <row r="938" spans="1:17" x14ac:dyDescent="0.3">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v>7.5</v>
      </c>
    </row>
    <row r="939" spans="1:17" x14ac:dyDescent="0.3">
      <c r="A939" t="s">
        <v>973</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v>7.4</v>
      </c>
    </row>
    <row r="940" spans="1:17" x14ac:dyDescent="0.3">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v>4.2</v>
      </c>
    </row>
    <row r="941" spans="1:17" x14ac:dyDescent="0.3">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v>5.9</v>
      </c>
    </row>
    <row r="942" spans="1:17" x14ac:dyDescent="0.3">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v>4.7619047620000003</v>
      </c>
      <c r="P942">
        <v>13.304</v>
      </c>
      <c r="Q942">
        <v>6.9</v>
      </c>
    </row>
    <row r="943" spans="1:17" x14ac:dyDescent="0.3">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v>6.6</v>
      </c>
    </row>
    <row r="944" spans="1:17" x14ac:dyDescent="0.3">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v>5.7</v>
      </c>
    </row>
    <row r="945" spans="1:17" x14ac:dyDescent="0.3">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v>5.3</v>
      </c>
    </row>
    <row r="946" spans="1:17" x14ac:dyDescent="0.3">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v>4.2</v>
      </c>
    </row>
    <row r="947" spans="1:17" x14ac:dyDescent="0.3">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v>4.7619047620000003</v>
      </c>
      <c r="P947">
        <v>32.857999999999997</v>
      </c>
      <c r="Q947">
        <v>7.3</v>
      </c>
    </row>
    <row r="948" spans="1:17" x14ac:dyDescent="0.3">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v>5.3</v>
      </c>
    </row>
    <row r="949" spans="1:17" x14ac:dyDescent="0.3">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v>4.7619047620000003</v>
      </c>
      <c r="P949">
        <v>2.6890000000000001</v>
      </c>
      <c r="Q949">
        <v>4.7</v>
      </c>
    </row>
    <row r="950" spans="1:17" x14ac:dyDescent="0.3">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v>7.9</v>
      </c>
    </row>
    <row r="951" spans="1:17" x14ac:dyDescent="0.3">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v>8.9</v>
      </c>
    </row>
    <row r="952" spans="1:17" x14ac:dyDescent="0.3">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v>9.3000000000000007</v>
      </c>
    </row>
    <row r="953" spans="1:17" x14ac:dyDescent="0.3">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v>4.7619047620000003</v>
      </c>
      <c r="P953">
        <v>3.2850000000000001</v>
      </c>
      <c r="Q953">
        <v>4.7</v>
      </c>
    </row>
    <row r="954" spans="1:17" x14ac:dyDescent="0.3">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v>8.6999999999999993</v>
      </c>
    </row>
    <row r="955" spans="1:17" x14ac:dyDescent="0.3">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v>7.6</v>
      </c>
    </row>
    <row r="956" spans="1:17" x14ac:dyDescent="0.3">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v>5.7</v>
      </c>
    </row>
    <row r="957" spans="1:17" x14ac:dyDescent="0.3">
      <c r="A957" t="s">
        <v>991</v>
      </c>
      <c r="B957" t="s">
        <v>18</v>
      </c>
      <c r="C957" t="s">
        <v>19</v>
      </c>
      <c r="D957" t="s">
        <v>27</v>
      </c>
      <c r="E957" t="s">
        <v>21</v>
      </c>
      <c r="F957" t="s">
        <v>46</v>
      </c>
      <c r="G957">
        <v>42.57</v>
      </c>
      <c r="H957">
        <v>7</v>
      </c>
      <c r="I957">
        <v>14.8995</v>
      </c>
      <c r="J957">
        <v>312.8895</v>
      </c>
      <c r="K957" s="1">
        <v>43471</v>
      </c>
      <c r="L957" s="2">
        <v>0.49375000000000002</v>
      </c>
      <c r="M957" t="s">
        <v>29</v>
      </c>
      <c r="N957">
        <v>297.99</v>
      </c>
      <c r="O957">
        <v>4.7619047620000003</v>
      </c>
      <c r="P957">
        <v>14.8995</v>
      </c>
      <c r="Q957">
        <v>6.8</v>
      </c>
    </row>
    <row r="958" spans="1:17" x14ac:dyDescent="0.3">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v>5.4</v>
      </c>
    </row>
    <row r="959" spans="1:17" x14ac:dyDescent="0.3">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v>7.1</v>
      </c>
    </row>
    <row r="960" spans="1:17" x14ac:dyDescent="0.3">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v>7.8</v>
      </c>
    </row>
    <row r="961" spans="1:17" x14ac:dyDescent="0.3">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v>8.4</v>
      </c>
    </row>
    <row r="962" spans="1:17" x14ac:dyDescent="0.3">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v>4.7619047620000003</v>
      </c>
      <c r="P962">
        <v>4.5990000000000002</v>
      </c>
      <c r="Q962">
        <v>9.8000000000000007</v>
      </c>
    </row>
    <row r="963" spans="1:17" x14ac:dyDescent="0.3">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v>9.8000000000000007</v>
      </c>
    </row>
    <row r="964" spans="1:17" x14ac:dyDescent="0.3">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v>4.7619047620000003</v>
      </c>
      <c r="P964">
        <v>0.77500000000000002</v>
      </c>
      <c r="Q964">
        <v>7.4</v>
      </c>
    </row>
    <row r="965" spans="1:17" x14ac:dyDescent="0.3">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v>4.7619047620000003</v>
      </c>
      <c r="P965">
        <v>14.523</v>
      </c>
      <c r="Q965">
        <v>6.7</v>
      </c>
    </row>
    <row r="966" spans="1:17" x14ac:dyDescent="0.3">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v>6.4</v>
      </c>
    </row>
    <row r="967" spans="1:17" x14ac:dyDescent="0.3">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v>4.7619047620000003</v>
      </c>
      <c r="P967">
        <v>3.827</v>
      </c>
      <c r="Q967">
        <v>5.8</v>
      </c>
    </row>
    <row r="968" spans="1:17" x14ac:dyDescent="0.3">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v>4.7619047620000003</v>
      </c>
      <c r="P968">
        <v>14.984999999999999</v>
      </c>
      <c r="Q968">
        <v>7.2</v>
      </c>
    </row>
    <row r="969" spans="1:17" x14ac:dyDescent="0.3">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v>9.3000000000000007</v>
      </c>
    </row>
    <row r="970" spans="1:17" x14ac:dyDescent="0.3">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v>9.5</v>
      </c>
    </row>
    <row r="971" spans="1:17" x14ac:dyDescent="0.3">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v>4.7619047620000003</v>
      </c>
      <c r="P971">
        <v>8.6225000000000005</v>
      </c>
      <c r="Q971">
        <v>9</v>
      </c>
    </row>
    <row r="972" spans="1:17" x14ac:dyDescent="0.3">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v>6.7</v>
      </c>
    </row>
    <row r="974" spans="1:17" x14ac:dyDescent="0.3">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v>5.5</v>
      </c>
    </row>
    <row r="975" spans="1:17" x14ac:dyDescent="0.3">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v>4.7619047620000003</v>
      </c>
      <c r="P975">
        <v>12.012</v>
      </c>
      <c r="Q975">
        <v>5.4</v>
      </c>
    </row>
    <row r="976" spans="1:17" x14ac:dyDescent="0.3">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v>8.1999999999999993</v>
      </c>
    </row>
    <row r="977" spans="1:17" x14ac:dyDescent="0.3">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v>4.7619047620000003</v>
      </c>
      <c r="P977">
        <v>4.992</v>
      </c>
      <c r="Q977">
        <v>7</v>
      </c>
    </row>
    <row r="978" spans="1:17" x14ac:dyDescent="0.3">
      <c r="A978" t="s">
        <v>1012</v>
      </c>
      <c r="B978" t="s">
        <v>18</v>
      </c>
      <c r="C978" t="s">
        <v>19</v>
      </c>
      <c r="D978" t="s">
        <v>27</v>
      </c>
      <c r="E978" t="s">
        <v>21</v>
      </c>
      <c r="F978" t="s">
        <v>44</v>
      </c>
      <c r="G978">
        <v>74.66</v>
      </c>
      <c r="H978">
        <v>4</v>
      </c>
      <c r="I978">
        <v>14.932</v>
      </c>
      <c r="J978">
        <v>313.572</v>
      </c>
      <c r="K978" s="1">
        <v>43528</v>
      </c>
      <c r="L978" s="2">
        <v>0.44374999999999998</v>
      </c>
      <c r="M978" t="s">
        <v>29</v>
      </c>
      <c r="N978">
        <v>298.64</v>
      </c>
      <c r="O978">
        <v>4.7619047620000003</v>
      </c>
      <c r="P978">
        <v>14.932</v>
      </c>
      <c r="Q978">
        <v>8.5</v>
      </c>
    </row>
    <row r="979" spans="1:17" x14ac:dyDescent="0.3">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v>4.9000000000000004</v>
      </c>
    </row>
    <row r="980" spans="1:17" x14ac:dyDescent="0.3">
      <c r="A980" t="s">
        <v>1014</v>
      </c>
      <c r="B980" t="s">
        <v>42</v>
      </c>
      <c r="C980" t="s">
        <v>43</v>
      </c>
      <c r="D980" t="s">
        <v>27</v>
      </c>
      <c r="E980" t="s">
        <v>21</v>
      </c>
      <c r="F980" t="s">
        <v>28</v>
      </c>
      <c r="G980">
        <v>25.45</v>
      </c>
      <c r="H980">
        <v>1</v>
      </c>
      <c r="I980">
        <v>1.2725</v>
      </c>
      <c r="J980">
        <v>26.7225</v>
      </c>
      <c r="K980" s="1">
        <v>43534</v>
      </c>
      <c r="L980" s="2">
        <v>0.75694444444444442</v>
      </c>
      <c r="M980" t="s">
        <v>33</v>
      </c>
      <c r="N980">
        <v>25.45</v>
      </c>
      <c r="O980">
        <v>4.7619047620000003</v>
      </c>
      <c r="P980">
        <v>1.2725</v>
      </c>
      <c r="Q980">
        <v>5.0999999999999996</v>
      </c>
    </row>
    <row r="981" spans="1:17" x14ac:dyDescent="0.3">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v>4.7619047620000003</v>
      </c>
      <c r="P981">
        <v>3.3885000000000001</v>
      </c>
      <c r="Q981">
        <v>6.5</v>
      </c>
    </row>
    <row r="982" spans="1:17" x14ac:dyDescent="0.3">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v>9.8000000000000007</v>
      </c>
    </row>
    <row r="983" spans="1:17" x14ac:dyDescent="0.3">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v>8.4</v>
      </c>
    </row>
    <row r="984" spans="1:17" x14ac:dyDescent="0.3">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v>7.4</v>
      </c>
    </row>
    <row r="985" spans="1:17" x14ac:dyDescent="0.3">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v>4.7619047620000003</v>
      </c>
      <c r="P985">
        <v>34.985999999999997</v>
      </c>
      <c r="Q985">
        <v>6.1</v>
      </c>
    </row>
    <row r="986" spans="1:17" x14ac:dyDescent="0.3">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v>6</v>
      </c>
    </row>
    <row r="987" spans="1:17" x14ac:dyDescent="0.3">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v>8.5</v>
      </c>
    </row>
    <row r="988" spans="1:17" x14ac:dyDescent="0.3">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v>4.3</v>
      </c>
    </row>
    <row r="989" spans="1:17" x14ac:dyDescent="0.3">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v>4.7619047620000003</v>
      </c>
      <c r="P989">
        <v>24.8</v>
      </c>
      <c r="Q989">
        <v>6.2</v>
      </c>
    </row>
    <row r="990" spans="1:17" x14ac:dyDescent="0.3">
      <c r="A990" t="s">
        <v>1024</v>
      </c>
      <c r="B990" t="s">
        <v>25</v>
      </c>
      <c r="C990" t="s">
        <v>26</v>
      </c>
      <c r="D990" t="s">
        <v>20</v>
      </c>
      <c r="E990" t="s">
        <v>31</v>
      </c>
      <c r="F990" t="s">
        <v>28</v>
      </c>
      <c r="G990">
        <v>82.34</v>
      </c>
      <c r="H990">
        <v>10</v>
      </c>
      <c r="I990">
        <v>41.17</v>
      </c>
      <c r="J990">
        <v>864.57</v>
      </c>
      <c r="K990" s="1">
        <v>43553</v>
      </c>
      <c r="L990" s="2">
        <v>0.8</v>
      </c>
      <c r="M990" t="s">
        <v>23</v>
      </c>
      <c r="N990">
        <v>823.4</v>
      </c>
      <c r="O990">
        <v>4.7619047620000003</v>
      </c>
      <c r="P990">
        <v>41.17</v>
      </c>
      <c r="Q990">
        <v>4.3</v>
      </c>
    </row>
    <row r="991" spans="1:17" x14ac:dyDescent="0.3">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v>8.4</v>
      </c>
    </row>
    <row r="992" spans="1:17" x14ac:dyDescent="0.3">
      <c r="A992" t="s">
        <v>1026</v>
      </c>
      <c r="B992" t="s">
        <v>18</v>
      </c>
      <c r="C992" t="s">
        <v>19</v>
      </c>
      <c r="D992" t="s">
        <v>27</v>
      </c>
      <c r="E992" t="s">
        <v>21</v>
      </c>
      <c r="F992" t="s">
        <v>44</v>
      </c>
      <c r="G992">
        <v>56.56</v>
      </c>
      <c r="H992">
        <v>5</v>
      </c>
      <c r="I992">
        <v>14.14</v>
      </c>
      <c r="J992">
        <v>296.94</v>
      </c>
      <c r="K992" s="1">
        <v>43546</v>
      </c>
      <c r="L992" s="2">
        <v>0.79583333333333328</v>
      </c>
      <c r="M992" t="s">
        <v>33</v>
      </c>
      <c r="N992">
        <v>282.8</v>
      </c>
      <c r="O992">
        <v>4.7619047620000003</v>
      </c>
      <c r="P992">
        <v>14.14</v>
      </c>
      <c r="Q992">
        <v>4.5</v>
      </c>
    </row>
    <row r="993" spans="1:17" x14ac:dyDescent="0.3">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v>6</v>
      </c>
    </row>
    <row r="994" spans="1:17" x14ac:dyDescent="0.3">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v>4.7619047620000003</v>
      </c>
      <c r="P994">
        <v>5.8029999999999999</v>
      </c>
      <c r="Q994">
        <v>8.8000000000000007</v>
      </c>
    </row>
    <row r="995" spans="1:17" x14ac:dyDescent="0.3">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v>4.7619047620000003</v>
      </c>
      <c r="P995">
        <v>8.7449999999999992</v>
      </c>
      <c r="Q995">
        <v>6.6</v>
      </c>
    </row>
    <row r="996" spans="1:17" x14ac:dyDescent="0.3">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v>5.9</v>
      </c>
    </row>
    <row r="997" spans="1:17" x14ac:dyDescent="0.3">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v>4.7619047620000003</v>
      </c>
      <c r="P997">
        <v>2.0175000000000001</v>
      </c>
      <c r="Q997">
        <v>6.2</v>
      </c>
    </row>
    <row r="998" spans="1:17" x14ac:dyDescent="0.3">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v>4.4000000000000004</v>
      </c>
    </row>
    <row r="999" spans="1:17" x14ac:dyDescent="0.3">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v>7.7</v>
      </c>
    </row>
    <row r="1000" spans="1:17" x14ac:dyDescent="0.3">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v>4.0999999999999996</v>
      </c>
    </row>
    <row r="1001" spans="1:17" x14ac:dyDescent="0.3">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v>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5B73C-FCB0-415F-A908-AE41146A0AC7}">
  <dimension ref="A3:B7"/>
  <sheetViews>
    <sheetView workbookViewId="0">
      <selection activeCell="A3" sqref="A3"/>
    </sheetView>
  </sheetViews>
  <sheetFormatPr defaultRowHeight="14.4" x14ac:dyDescent="0.3"/>
  <cols>
    <col min="1" max="1" width="12.5546875" bestFit="1" customWidth="1"/>
    <col min="2" max="2" width="11.6640625" bestFit="1" customWidth="1"/>
    <col min="3" max="3" width="12" bestFit="1" customWidth="1"/>
  </cols>
  <sheetData>
    <row r="3" spans="1:2" x14ac:dyDescent="0.3">
      <c r="A3" s="3" t="s">
        <v>1036</v>
      </c>
      <c r="B3" t="s">
        <v>1038</v>
      </c>
    </row>
    <row r="4" spans="1:2" x14ac:dyDescent="0.3">
      <c r="A4" s="4" t="s">
        <v>18</v>
      </c>
      <c r="B4">
        <v>37659.121500000016</v>
      </c>
    </row>
    <row r="5" spans="1:2" x14ac:dyDescent="0.3">
      <c r="A5" s="4" t="s">
        <v>42</v>
      </c>
      <c r="B5">
        <v>34597.342499999992</v>
      </c>
    </row>
    <row r="6" spans="1:2" x14ac:dyDescent="0.3">
      <c r="A6" s="4" t="s">
        <v>25</v>
      </c>
      <c r="B6">
        <v>37199.042999999991</v>
      </c>
    </row>
    <row r="7" spans="1:2" x14ac:dyDescent="0.3">
      <c r="A7" s="4" t="s">
        <v>1037</v>
      </c>
      <c r="B7">
        <v>109455.507</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F7E2A-1FF4-4C34-8B4A-C2E4E9FDB0DC}">
  <dimension ref="A3:B7"/>
  <sheetViews>
    <sheetView zoomScaleNormal="100" workbookViewId="0">
      <selection activeCell="A3" sqref="A3:B7"/>
    </sheetView>
  </sheetViews>
  <sheetFormatPr defaultRowHeight="14.4" x14ac:dyDescent="0.3"/>
  <cols>
    <col min="1" max="1" width="12.5546875" bestFit="1" customWidth="1"/>
    <col min="2" max="2" width="14.88671875" bestFit="1" customWidth="1"/>
  </cols>
  <sheetData>
    <row r="3" spans="1:2" x14ac:dyDescent="0.3">
      <c r="A3" s="3" t="s">
        <v>1036</v>
      </c>
      <c r="B3" t="s">
        <v>1039</v>
      </c>
    </row>
    <row r="4" spans="1:2" x14ac:dyDescent="0.3">
      <c r="A4" s="4" t="s">
        <v>1055</v>
      </c>
      <c r="B4">
        <v>1965</v>
      </c>
    </row>
    <row r="5" spans="1:2" x14ac:dyDescent="0.3">
      <c r="A5" s="4" t="s">
        <v>1056</v>
      </c>
      <c r="B5">
        <v>1654</v>
      </c>
    </row>
    <row r="6" spans="1:2" x14ac:dyDescent="0.3">
      <c r="A6" s="4" t="s">
        <v>1057</v>
      </c>
      <c r="B6">
        <v>1891</v>
      </c>
    </row>
    <row r="7" spans="1:2" x14ac:dyDescent="0.3">
      <c r="A7" s="4" t="s">
        <v>1037</v>
      </c>
      <c r="B7">
        <v>5510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769F-B3B3-422A-8A58-0A3348D7FA72}">
  <dimension ref="A3:B6"/>
  <sheetViews>
    <sheetView zoomScale="112" workbookViewId="0">
      <selection activeCell="A3" sqref="A3:B6"/>
    </sheetView>
  </sheetViews>
  <sheetFormatPr defaultRowHeight="14.4" x14ac:dyDescent="0.3"/>
  <cols>
    <col min="1" max="1" width="9.77734375" bestFit="1" customWidth="1"/>
    <col min="2" max="2" width="11.77734375" bestFit="1" customWidth="1"/>
    <col min="3" max="3" width="13.44140625" bestFit="1" customWidth="1"/>
  </cols>
  <sheetData>
    <row r="3" spans="1:2" x14ac:dyDescent="0.3">
      <c r="A3" s="31" t="s">
        <v>1059</v>
      </c>
      <c r="B3" s="31" t="s">
        <v>1058</v>
      </c>
    </row>
    <row r="4" spans="1:2" x14ac:dyDescent="0.3">
      <c r="A4" s="4" t="s">
        <v>1055</v>
      </c>
      <c r="B4">
        <v>116291.86800000005</v>
      </c>
    </row>
    <row r="5" spans="1:2" x14ac:dyDescent="0.3">
      <c r="A5" s="4" t="s">
        <v>1056</v>
      </c>
      <c r="B5">
        <v>97219.373999999967</v>
      </c>
    </row>
    <row r="6" spans="1:2" x14ac:dyDescent="0.3">
      <c r="A6" s="4" t="s">
        <v>1057</v>
      </c>
      <c r="B6">
        <v>109455.50700000004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45124-DCFD-451C-B075-3542F58E50BC}">
  <dimension ref="A3:B13"/>
  <sheetViews>
    <sheetView workbookViewId="0">
      <selection activeCell="B13" sqref="B13"/>
    </sheetView>
  </sheetViews>
  <sheetFormatPr defaultRowHeight="14.4" x14ac:dyDescent="0.3"/>
  <cols>
    <col min="1" max="1" width="17.44140625" bestFit="1" customWidth="1"/>
    <col min="2" max="2" width="11.6640625" bestFit="1" customWidth="1"/>
  </cols>
  <sheetData>
    <row r="3" spans="1:2" x14ac:dyDescent="0.3">
      <c r="A3" s="3" t="s">
        <v>1036</v>
      </c>
      <c r="B3" t="s">
        <v>1038</v>
      </c>
    </row>
    <row r="4" spans="1:2" x14ac:dyDescent="0.3">
      <c r="A4" s="4" t="s">
        <v>44</v>
      </c>
      <c r="B4">
        <v>1041.5055</v>
      </c>
    </row>
    <row r="5" spans="1:2" x14ac:dyDescent="0.3">
      <c r="A5" s="4" t="s">
        <v>1037</v>
      </c>
      <c r="B5" s="25">
        <v>1041.5055</v>
      </c>
    </row>
    <row r="13" spans="1:2" x14ac:dyDescent="0.3">
      <c r="B13" s="26">
        <f>GETPIVOTDATA("Total",$A$3)</f>
        <v>1041.5055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0348D-D8EA-454F-906D-3B41E706A26B}">
  <dimension ref="A3:B12"/>
  <sheetViews>
    <sheetView workbookViewId="0">
      <selection activeCell="B13" sqref="B13"/>
    </sheetView>
  </sheetViews>
  <sheetFormatPr defaultRowHeight="14.4" x14ac:dyDescent="0.3"/>
  <cols>
    <col min="1" max="1" width="17.44140625" bestFit="1" customWidth="1"/>
    <col min="2" max="2" width="18.6640625" bestFit="1" customWidth="1"/>
  </cols>
  <sheetData>
    <row r="3" spans="1:2" x14ac:dyDescent="0.3">
      <c r="A3" s="3" t="s">
        <v>1036</v>
      </c>
      <c r="B3" t="s">
        <v>1040</v>
      </c>
    </row>
    <row r="4" spans="1:2" x14ac:dyDescent="0.3">
      <c r="A4" s="4" t="s">
        <v>44</v>
      </c>
      <c r="B4">
        <v>49.595500000000001</v>
      </c>
    </row>
    <row r="5" spans="1:2" x14ac:dyDescent="0.3">
      <c r="A5" s="4" t="s">
        <v>1037</v>
      </c>
      <c r="B5" s="25">
        <v>49.595500000000001</v>
      </c>
    </row>
    <row r="12" spans="1:2" x14ac:dyDescent="0.3">
      <c r="B12" s="25">
        <f>GETPIVOTDATA("gross income",$A$3)</f>
        <v>49.595500000000001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B04C7-1DE8-4AD8-9358-D235850BA3F0}">
  <dimension ref="A3:B12"/>
  <sheetViews>
    <sheetView workbookViewId="0">
      <selection activeCell="B13" sqref="B13"/>
    </sheetView>
  </sheetViews>
  <sheetFormatPr defaultRowHeight="14.4" x14ac:dyDescent="0.3"/>
  <cols>
    <col min="1" max="1" width="17.44140625" bestFit="1" customWidth="1"/>
    <col min="2" max="2" width="14.88671875" bestFit="1" customWidth="1"/>
  </cols>
  <sheetData>
    <row r="3" spans="1:2" x14ac:dyDescent="0.3">
      <c r="A3" s="3" t="s">
        <v>1036</v>
      </c>
      <c r="B3" t="s">
        <v>1039</v>
      </c>
    </row>
    <row r="4" spans="1:2" x14ac:dyDescent="0.3">
      <c r="A4" s="4" t="s">
        <v>44</v>
      </c>
      <c r="B4">
        <v>17</v>
      </c>
    </row>
    <row r="5" spans="1:2" x14ac:dyDescent="0.3">
      <c r="A5" s="4" t="s">
        <v>1037</v>
      </c>
      <c r="B5">
        <v>17</v>
      </c>
    </row>
    <row r="12" spans="1:2" x14ac:dyDescent="0.3">
      <c r="B12">
        <f>GETPIVOTDATA("Quantity",$A$3)</f>
        <v>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FC768-DD99-444E-94EA-83C3E5A10DBD}">
  <dimension ref="A3:B9"/>
  <sheetViews>
    <sheetView workbookViewId="0">
      <selection activeCell="B10" sqref="B10"/>
    </sheetView>
  </sheetViews>
  <sheetFormatPr defaultRowHeight="14.4" x14ac:dyDescent="0.3"/>
  <cols>
    <col min="1" max="1" width="12.5546875" bestFit="1" customWidth="1"/>
    <col min="2" max="2" width="13.33203125" bestFit="1" customWidth="1"/>
  </cols>
  <sheetData>
    <row r="3" spans="1:2" x14ac:dyDescent="0.3">
      <c r="A3" s="3" t="s">
        <v>1036</v>
      </c>
      <c r="B3" t="s">
        <v>1043</v>
      </c>
    </row>
    <row r="4" spans="1:2" x14ac:dyDescent="0.3">
      <c r="A4" s="4" t="s">
        <v>42</v>
      </c>
      <c r="B4">
        <v>96.608000000000004</v>
      </c>
    </row>
    <row r="5" spans="1:2" x14ac:dyDescent="0.3">
      <c r="A5" s="4" t="s">
        <v>1037</v>
      </c>
      <c r="B5" s="25">
        <v>96.608000000000004</v>
      </c>
    </row>
    <row r="9" spans="1:2" x14ac:dyDescent="0.3">
      <c r="B9" s="25">
        <f>GETPIVOTDATA("Tax 5%",$A$3)</f>
        <v>96.608000000000004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CFCA7-BAC0-4CB5-8DC1-5DE4B225E885}">
  <dimension ref="A3:B7"/>
  <sheetViews>
    <sheetView topLeftCell="B5" zoomScale="111" workbookViewId="0">
      <selection activeCell="O15" sqref="O15"/>
    </sheetView>
  </sheetViews>
  <sheetFormatPr defaultRowHeight="14.4" x14ac:dyDescent="0.3"/>
  <cols>
    <col min="1" max="1" width="12.5546875" bestFit="1" customWidth="1"/>
    <col min="2" max="2" width="11.6640625" bestFit="1" customWidth="1"/>
  </cols>
  <sheetData>
    <row r="3" spans="1:2" x14ac:dyDescent="0.3">
      <c r="A3" s="3" t="s">
        <v>1036</v>
      </c>
      <c r="B3" t="s">
        <v>1038</v>
      </c>
    </row>
    <row r="4" spans="1:2" x14ac:dyDescent="0.3">
      <c r="A4" s="4" t="s">
        <v>18</v>
      </c>
      <c r="B4">
        <v>2586.4124999999995</v>
      </c>
    </row>
    <row r="5" spans="1:2" x14ac:dyDescent="0.3">
      <c r="A5" s="4" t="s">
        <v>42</v>
      </c>
      <c r="B5">
        <v>1041.5055</v>
      </c>
    </row>
    <row r="6" spans="1:2" x14ac:dyDescent="0.3">
      <c r="A6" s="4" t="s">
        <v>25</v>
      </c>
      <c r="B6">
        <v>3239.9849999999997</v>
      </c>
    </row>
    <row r="7" spans="1:2" x14ac:dyDescent="0.3">
      <c r="A7" s="4" t="s">
        <v>1037</v>
      </c>
      <c r="B7">
        <v>6867.9029999999993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56651-1E52-494D-9725-116B94D51122}">
  <dimension ref="A3:B12"/>
  <sheetViews>
    <sheetView workbookViewId="0">
      <selection activeCell="B13" sqref="B13"/>
    </sheetView>
  </sheetViews>
  <sheetFormatPr defaultRowHeight="14.4" x14ac:dyDescent="0.3"/>
  <cols>
    <col min="1" max="1" width="17.44140625" bestFit="1" customWidth="1"/>
    <col min="2" max="2" width="16" bestFit="1" customWidth="1"/>
  </cols>
  <sheetData>
    <row r="3" spans="1:2" x14ac:dyDescent="0.3">
      <c r="A3" s="3" t="s">
        <v>1036</v>
      </c>
      <c r="B3" t="s">
        <v>1041</v>
      </c>
    </row>
    <row r="4" spans="1:2" x14ac:dyDescent="0.3">
      <c r="A4" s="4" t="s">
        <v>44</v>
      </c>
      <c r="B4">
        <v>9.0333333333333332</v>
      </c>
    </row>
    <row r="5" spans="1:2" x14ac:dyDescent="0.3">
      <c r="A5" s="4" t="s">
        <v>1037</v>
      </c>
      <c r="B5">
        <v>9.0333333333333332</v>
      </c>
    </row>
    <row r="12" spans="1:2" x14ac:dyDescent="0.3">
      <c r="B12" s="24">
        <f>GETPIVOTDATA("Rating",$A$3)</f>
        <v>9.0333333333333332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C08E6-C392-4FD2-91F2-8D5BE67F5632}">
  <dimension ref="A3:B7"/>
  <sheetViews>
    <sheetView workbookViewId="0">
      <selection activeCell="Q27" sqref="Q27"/>
    </sheetView>
  </sheetViews>
  <sheetFormatPr defaultRowHeight="14.4" x14ac:dyDescent="0.3"/>
  <cols>
    <col min="1" max="1" width="12.5546875" bestFit="1" customWidth="1"/>
    <col min="2" max="2" width="14.88671875" bestFit="1" customWidth="1"/>
  </cols>
  <sheetData>
    <row r="3" spans="1:2" x14ac:dyDescent="0.3">
      <c r="A3" s="3" t="s">
        <v>1036</v>
      </c>
      <c r="B3" t="s">
        <v>1039</v>
      </c>
    </row>
    <row r="4" spans="1:2" x14ac:dyDescent="0.3">
      <c r="A4" s="4" t="s">
        <v>18</v>
      </c>
      <c r="B4">
        <v>35</v>
      </c>
    </row>
    <row r="5" spans="1:2" x14ac:dyDescent="0.3">
      <c r="A5" s="4" t="s">
        <v>42</v>
      </c>
      <c r="B5">
        <v>17</v>
      </c>
    </row>
    <row r="6" spans="1:2" x14ac:dyDescent="0.3">
      <c r="A6" s="4" t="s">
        <v>25</v>
      </c>
      <c r="B6">
        <v>48</v>
      </c>
    </row>
    <row r="7" spans="1:2" x14ac:dyDescent="0.3">
      <c r="A7" s="4" t="s">
        <v>1037</v>
      </c>
      <c r="B7">
        <v>100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EBB52-9331-4961-9CD4-9796671A7D46}">
  <dimension ref="A3:C17"/>
  <sheetViews>
    <sheetView workbookViewId="0">
      <selection activeCell="M9" sqref="M9"/>
    </sheetView>
  </sheetViews>
  <sheetFormatPr defaultRowHeight="14.4" x14ac:dyDescent="0.3"/>
  <cols>
    <col min="1" max="1" width="12.5546875" bestFit="1" customWidth="1"/>
    <col min="2" max="2" width="14.88671875" bestFit="1" customWidth="1"/>
  </cols>
  <sheetData>
    <row r="3" spans="1:2" x14ac:dyDescent="0.3">
      <c r="A3" s="3" t="s">
        <v>1036</v>
      </c>
      <c r="B3" t="s">
        <v>1039</v>
      </c>
    </row>
    <row r="4" spans="1:2" x14ac:dyDescent="0.3">
      <c r="A4" s="4" t="s">
        <v>18</v>
      </c>
      <c r="B4">
        <v>1859</v>
      </c>
    </row>
    <row r="5" spans="1:2" x14ac:dyDescent="0.3">
      <c r="A5" s="11" t="s">
        <v>20</v>
      </c>
      <c r="B5">
        <v>964</v>
      </c>
    </row>
    <row r="6" spans="1:2" x14ac:dyDescent="0.3">
      <c r="A6" s="11" t="s">
        <v>27</v>
      </c>
      <c r="B6">
        <v>895</v>
      </c>
    </row>
    <row r="7" spans="1:2" x14ac:dyDescent="0.3">
      <c r="A7" s="4" t="s">
        <v>42</v>
      </c>
      <c r="B7">
        <v>1820</v>
      </c>
    </row>
    <row r="8" spans="1:2" x14ac:dyDescent="0.3">
      <c r="A8" s="11" t="s">
        <v>20</v>
      </c>
      <c r="B8">
        <v>924</v>
      </c>
    </row>
    <row r="9" spans="1:2" x14ac:dyDescent="0.3">
      <c r="A9" s="11" t="s">
        <v>27</v>
      </c>
      <c r="B9">
        <v>896</v>
      </c>
    </row>
    <row r="10" spans="1:2" x14ac:dyDescent="0.3">
      <c r="A10" s="4" t="s">
        <v>25</v>
      </c>
      <c r="B10">
        <v>1831</v>
      </c>
    </row>
    <row r="11" spans="1:2" x14ac:dyDescent="0.3">
      <c r="A11" s="11" t="s">
        <v>20</v>
      </c>
      <c r="B11">
        <v>897</v>
      </c>
    </row>
    <row r="12" spans="1:2" x14ac:dyDescent="0.3">
      <c r="A12" s="11" t="s">
        <v>27</v>
      </c>
      <c r="B12">
        <v>934</v>
      </c>
    </row>
    <row r="13" spans="1:2" x14ac:dyDescent="0.3">
      <c r="A13" s="4" t="s">
        <v>1037</v>
      </c>
      <c r="B13">
        <v>5510</v>
      </c>
    </row>
    <row r="17" spans="3:3" x14ac:dyDescent="0.3">
      <c r="C17" t="s">
        <v>1051</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0B672-2841-46DC-AF63-C92DDD5731E4}">
  <dimension ref="A3:B12"/>
  <sheetViews>
    <sheetView workbookViewId="0">
      <selection activeCell="F3" sqref="F3"/>
    </sheetView>
  </sheetViews>
  <sheetFormatPr defaultRowHeight="14.4" x14ac:dyDescent="0.3"/>
  <cols>
    <col min="1" max="1" width="12.5546875" bestFit="1" customWidth="1"/>
    <col min="2" max="2" width="15.6640625" bestFit="1" customWidth="1"/>
  </cols>
  <sheetData>
    <row r="3" spans="1:2" x14ac:dyDescent="0.3">
      <c r="A3" s="3" t="s">
        <v>1036</v>
      </c>
      <c r="B3" t="s">
        <v>1044</v>
      </c>
    </row>
    <row r="4" spans="1:2" x14ac:dyDescent="0.3">
      <c r="A4" s="4" t="s">
        <v>20</v>
      </c>
      <c r="B4">
        <v>28159.700000000004</v>
      </c>
    </row>
    <row r="5" spans="1:2" x14ac:dyDescent="0.3">
      <c r="A5" s="11" t="s">
        <v>18</v>
      </c>
      <c r="B5">
        <v>9081.4900000000016</v>
      </c>
    </row>
    <row r="6" spans="1:2" x14ac:dyDescent="0.3">
      <c r="A6" s="11" t="s">
        <v>42</v>
      </c>
      <c r="B6">
        <v>9132.6700000000019</v>
      </c>
    </row>
    <row r="7" spans="1:2" x14ac:dyDescent="0.3">
      <c r="A7" s="11" t="s">
        <v>25</v>
      </c>
      <c r="B7">
        <v>9945.5399999999991</v>
      </c>
    </row>
    <row r="8" spans="1:2" x14ac:dyDescent="0.3">
      <c r="A8" s="4" t="s">
        <v>27</v>
      </c>
      <c r="B8">
        <v>27512.430000000004</v>
      </c>
    </row>
    <row r="9" spans="1:2" x14ac:dyDescent="0.3">
      <c r="A9" s="11" t="s">
        <v>18</v>
      </c>
      <c r="B9">
        <v>9544.0000000000036</v>
      </c>
    </row>
    <row r="10" spans="1:2" x14ac:dyDescent="0.3">
      <c r="A10" s="11" t="s">
        <v>42</v>
      </c>
      <c r="B10">
        <v>9346.2100000000009</v>
      </c>
    </row>
    <row r="11" spans="1:2" x14ac:dyDescent="0.3">
      <c r="A11" s="11" t="s">
        <v>25</v>
      </c>
      <c r="B11">
        <v>8622.2199999999975</v>
      </c>
    </row>
    <row r="12" spans="1:2" x14ac:dyDescent="0.3">
      <c r="A12" s="4" t="s">
        <v>1037</v>
      </c>
      <c r="B12">
        <v>55672.130000000005</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79255-1225-4C32-B95E-FFDB748FE317}">
  <dimension ref="A3:B5"/>
  <sheetViews>
    <sheetView workbookViewId="0">
      <selection activeCell="Q27" sqref="Q27"/>
    </sheetView>
  </sheetViews>
  <sheetFormatPr defaultRowHeight="14.4" x14ac:dyDescent="0.3"/>
  <cols>
    <col min="1" max="1" width="12.5546875" bestFit="1" customWidth="1"/>
    <col min="2" max="2" width="11.6640625" bestFit="1" customWidth="1"/>
  </cols>
  <sheetData>
    <row r="3" spans="1:2" x14ac:dyDescent="0.3">
      <c r="A3" s="3" t="s">
        <v>1036</v>
      </c>
      <c r="B3" t="s">
        <v>1038</v>
      </c>
    </row>
    <row r="4" spans="1:2" x14ac:dyDescent="0.3">
      <c r="A4" s="4" t="s">
        <v>29</v>
      </c>
      <c r="B4">
        <v>1041.5055</v>
      </c>
    </row>
    <row r="5" spans="1:2" x14ac:dyDescent="0.3">
      <c r="A5" s="4" t="s">
        <v>1037</v>
      </c>
      <c r="B5">
        <v>1041.5055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BAF91-B94B-4C00-9F23-F60666026AFB}">
  <dimension ref="A3:B10"/>
  <sheetViews>
    <sheetView workbookViewId="0">
      <selection activeCell="O2" sqref="O2"/>
    </sheetView>
  </sheetViews>
  <sheetFormatPr defaultRowHeight="14.4" x14ac:dyDescent="0.3"/>
  <cols>
    <col min="1" max="1" width="19.109375" bestFit="1" customWidth="1"/>
    <col min="2" max="2" width="11.6640625" bestFit="1" customWidth="1"/>
  </cols>
  <sheetData>
    <row r="3" spans="1:2" x14ac:dyDescent="0.3">
      <c r="A3" s="3" t="s">
        <v>1036</v>
      </c>
      <c r="B3" t="s">
        <v>1038</v>
      </c>
    </row>
    <row r="4" spans="1:2" x14ac:dyDescent="0.3">
      <c r="A4" s="4" t="s">
        <v>28</v>
      </c>
      <c r="B4">
        <v>2707.1205</v>
      </c>
    </row>
    <row r="5" spans="1:2" x14ac:dyDescent="0.3">
      <c r="A5" s="4" t="s">
        <v>46</v>
      </c>
      <c r="B5">
        <v>755.91600000000005</v>
      </c>
    </row>
    <row r="6" spans="1:2" x14ac:dyDescent="0.3">
      <c r="A6" s="4" t="s">
        <v>44</v>
      </c>
      <c r="B6">
        <v>1041.5055</v>
      </c>
    </row>
    <row r="7" spans="1:2" x14ac:dyDescent="0.3">
      <c r="A7" s="4" t="s">
        <v>22</v>
      </c>
      <c r="B7">
        <v>565.21500000000003</v>
      </c>
    </row>
    <row r="8" spans="1:2" x14ac:dyDescent="0.3">
      <c r="A8" s="4" t="s">
        <v>32</v>
      </c>
      <c r="B8">
        <v>1218.8085000000001</v>
      </c>
    </row>
    <row r="9" spans="1:2" x14ac:dyDescent="0.3">
      <c r="A9" s="4" t="s">
        <v>36</v>
      </c>
      <c r="B9">
        <v>1598.877</v>
      </c>
    </row>
    <row r="10" spans="1:2" x14ac:dyDescent="0.3">
      <c r="A10" s="4" t="s">
        <v>1037</v>
      </c>
      <c r="B10">
        <v>7887.442500000001</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3821E-4AF3-4DD9-A330-CA178C1D09C7}">
  <dimension ref="A3:B13"/>
  <sheetViews>
    <sheetView workbookViewId="0">
      <selection activeCell="A3" sqref="A3:B13"/>
    </sheetView>
  </sheetViews>
  <sheetFormatPr defaultRowHeight="14.4" x14ac:dyDescent="0.3"/>
  <cols>
    <col min="1" max="1" width="12.5546875" bestFit="1" customWidth="1"/>
    <col min="2" max="2" width="12" bestFit="1" customWidth="1"/>
  </cols>
  <sheetData>
    <row r="3" spans="1:2" x14ac:dyDescent="0.3">
      <c r="A3" s="3" t="s">
        <v>1036</v>
      </c>
      <c r="B3" t="s">
        <v>1038</v>
      </c>
    </row>
    <row r="4" spans="1:2" x14ac:dyDescent="0.3">
      <c r="A4" s="4" t="s">
        <v>18</v>
      </c>
      <c r="B4">
        <v>106200.37049999998</v>
      </c>
    </row>
    <row r="5" spans="1:2" x14ac:dyDescent="0.3">
      <c r="A5" s="11" t="s">
        <v>21</v>
      </c>
      <c r="B5">
        <v>53269.166999999994</v>
      </c>
    </row>
    <row r="6" spans="1:2" x14ac:dyDescent="0.3">
      <c r="A6" s="11" t="s">
        <v>31</v>
      </c>
      <c r="B6">
        <v>52931.203499999981</v>
      </c>
    </row>
    <row r="7" spans="1:2" x14ac:dyDescent="0.3">
      <c r="A7" s="4" t="s">
        <v>42</v>
      </c>
      <c r="B7">
        <v>106197.67200000004</v>
      </c>
    </row>
    <row r="8" spans="1:2" x14ac:dyDescent="0.3">
      <c r="A8" s="11" t="s">
        <v>21</v>
      </c>
      <c r="B8">
        <v>52928.295000000013</v>
      </c>
    </row>
    <row r="9" spans="1:2" x14ac:dyDescent="0.3">
      <c r="A9" s="11" t="s">
        <v>31</v>
      </c>
      <c r="B9">
        <v>53269.377000000022</v>
      </c>
    </row>
    <row r="10" spans="1:2" x14ac:dyDescent="0.3">
      <c r="A10" s="4" t="s">
        <v>25</v>
      </c>
      <c r="B10">
        <v>110568.7065</v>
      </c>
    </row>
    <row r="11" spans="1:2" x14ac:dyDescent="0.3">
      <c r="A11" s="11" t="s">
        <v>21</v>
      </c>
      <c r="B11">
        <v>61685.463000000018</v>
      </c>
    </row>
    <row r="12" spans="1:2" x14ac:dyDescent="0.3">
      <c r="A12" s="11" t="s">
        <v>31</v>
      </c>
      <c r="B12">
        <v>48883.24349999999</v>
      </c>
    </row>
    <row r="13" spans="1:2" x14ac:dyDescent="0.3">
      <c r="A13" s="4" t="s">
        <v>1037</v>
      </c>
      <c r="B13">
        <v>322966.74900000007</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0EE1D-F6A8-49EE-9755-89788CEEFDB1}">
  <dimension ref="A3:B13"/>
  <sheetViews>
    <sheetView workbookViewId="0">
      <selection activeCell="M9" sqref="M9"/>
    </sheetView>
  </sheetViews>
  <sheetFormatPr defaultRowHeight="14.4" x14ac:dyDescent="0.3"/>
  <cols>
    <col min="1" max="1" width="12.5546875" bestFit="1" customWidth="1"/>
    <col min="2" max="2" width="12" bestFit="1" customWidth="1"/>
  </cols>
  <sheetData>
    <row r="3" spans="1:2" x14ac:dyDescent="0.3">
      <c r="A3" s="3" t="s">
        <v>1036</v>
      </c>
      <c r="B3" t="s">
        <v>1038</v>
      </c>
    </row>
    <row r="4" spans="1:2" x14ac:dyDescent="0.3">
      <c r="A4" s="4" t="s">
        <v>18</v>
      </c>
      <c r="B4">
        <v>106200.37049999996</v>
      </c>
    </row>
    <row r="5" spans="1:2" x14ac:dyDescent="0.3">
      <c r="A5" s="11" t="s">
        <v>20</v>
      </c>
      <c r="B5">
        <v>53637.475499999993</v>
      </c>
    </row>
    <row r="6" spans="1:2" x14ac:dyDescent="0.3">
      <c r="A6" s="11" t="s">
        <v>27</v>
      </c>
      <c r="B6">
        <v>52562.894999999975</v>
      </c>
    </row>
    <row r="7" spans="1:2" x14ac:dyDescent="0.3">
      <c r="A7" s="4" t="s">
        <v>42</v>
      </c>
      <c r="B7">
        <v>106197.67200000005</v>
      </c>
    </row>
    <row r="8" spans="1:2" x14ac:dyDescent="0.3">
      <c r="A8" s="11" t="s">
        <v>20</v>
      </c>
      <c r="B8">
        <v>53704.686000000009</v>
      </c>
    </row>
    <row r="9" spans="1:2" x14ac:dyDescent="0.3">
      <c r="A9" s="11" t="s">
        <v>27</v>
      </c>
      <c r="B9">
        <v>52492.986000000034</v>
      </c>
    </row>
    <row r="10" spans="1:2" x14ac:dyDescent="0.3">
      <c r="A10" s="4" t="s">
        <v>25</v>
      </c>
      <c r="B10">
        <v>110568.70649999999</v>
      </c>
    </row>
    <row r="11" spans="1:2" x14ac:dyDescent="0.3">
      <c r="A11" s="11" t="s">
        <v>20</v>
      </c>
      <c r="B11">
        <v>56881.282500000016</v>
      </c>
    </row>
    <row r="12" spans="1:2" x14ac:dyDescent="0.3">
      <c r="A12" s="11" t="s">
        <v>27</v>
      </c>
      <c r="B12">
        <v>53687.42399999997</v>
      </c>
    </row>
    <row r="13" spans="1:2" x14ac:dyDescent="0.3">
      <c r="A13" s="4" t="s">
        <v>1037</v>
      </c>
      <c r="B13">
        <v>322966.74899999995</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AD990-1D14-4473-8B93-DF7B7D4019BD}">
  <dimension ref="A3:B10"/>
  <sheetViews>
    <sheetView workbookViewId="0">
      <selection activeCell="A3" sqref="A3:B10"/>
    </sheetView>
  </sheetViews>
  <sheetFormatPr defaultRowHeight="14.4" x14ac:dyDescent="0.3"/>
  <cols>
    <col min="1" max="1" width="19.109375" bestFit="1" customWidth="1"/>
    <col min="2" max="2" width="15.6640625" bestFit="1" customWidth="1"/>
  </cols>
  <sheetData>
    <row r="3" spans="1:2" x14ac:dyDescent="0.3">
      <c r="A3" s="3" t="s">
        <v>1036</v>
      </c>
      <c r="B3" t="s">
        <v>1044</v>
      </c>
    </row>
    <row r="4" spans="1:2" x14ac:dyDescent="0.3">
      <c r="A4" s="4" t="s">
        <v>28</v>
      </c>
      <c r="B4">
        <v>9103.7700000000059</v>
      </c>
    </row>
    <row r="5" spans="1:2" x14ac:dyDescent="0.3">
      <c r="A5" s="4" t="s">
        <v>46</v>
      </c>
      <c r="B5">
        <v>10173.349999999997</v>
      </c>
    </row>
    <row r="6" spans="1:2" x14ac:dyDescent="0.3">
      <c r="A6" s="4" t="s">
        <v>44</v>
      </c>
      <c r="B6">
        <v>9745.5400000000063</v>
      </c>
    </row>
    <row r="7" spans="1:2" x14ac:dyDescent="0.3">
      <c r="A7" s="4" t="s">
        <v>22</v>
      </c>
      <c r="B7">
        <v>8337.880000000001</v>
      </c>
    </row>
    <row r="8" spans="1:2" x14ac:dyDescent="0.3">
      <c r="A8" s="4" t="s">
        <v>32</v>
      </c>
      <c r="B8">
        <v>8850.7099999999955</v>
      </c>
    </row>
    <row r="9" spans="1:2" x14ac:dyDescent="0.3">
      <c r="A9" s="4" t="s">
        <v>36</v>
      </c>
      <c r="B9">
        <v>9460.8799999999956</v>
      </c>
    </row>
    <row r="10" spans="1:2" x14ac:dyDescent="0.3">
      <c r="A10" s="4" t="s">
        <v>1037</v>
      </c>
      <c r="B10">
        <v>55672.13</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18895-BD3B-43DE-B1B9-CFDC0506DCFA}">
  <dimension ref="A3:D10"/>
  <sheetViews>
    <sheetView workbookViewId="0">
      <selection activeCell="D3" sqref="D3"/>
    </sheetView>
  </sheetViews>
  <sheetFormatPr defaultRowHeight="14.4" x14ac:dyDescent="0.3"/>
  <cols>
    <col min="1" max="1" width="19.109375" bestFit="1" customWidth="1"/>
    <col min="2" max="2" width="11.6640625" bestFit="1" customWidth="1"/>
    <col min="3" max="3" width="14.88671875" bestFit="1" customWidth="1"/>
    <col min="4" max="4" width="18.6640625" bestFit="1" customWidth="1"/>
  </cols>
  <sheetData>
    <row r="3" spans="1:4" x14ac:dyDescent="0.3">
      <c r="A3" s="12" t="s">
        <v>5</v>
      </c>
      <c r="B3" s="12" t="s">
        <v>1038</v>
      </c>
      <c r="C3" s="12" t="s">
        <v>1039</v>
      </c>
      <c r="D3" s="12" t="s">
        <v>1040</v>
      </c>
    </row>
    <row r="4" spans="1:4" x14ac:dyDescent="0.3">
      <c r="A4" t="s">
        <v>28</v>
      </c>
      <c r="B4">
        <v>54337.531500000005</v>
      </c>
      <c r="C4">
        <v>971</v>
      </c>
      <c r="D4">
        <v>2587.5015000000017</v>
      </c>
    </row>
    <row r="5" spans="1:4" x14ac:dyDescent="0.3">
      <c r="A5" t="s">
        <v>46</v>
      </c>
      <c r="B5">
        <v>54305.894999999997</v>
      </c>
      <c r="C5">
        <v>902</v>
      </c>
      <c r="D5">
        <v>2585.9949999999999</v>
      </c>
    </row>
    <row r="6" spans="1:4" x14ac:dyDescent="0.3">
      <c r="A6" t="s">
        <v>44</v>
      </c>
      <c r="B6">
        <v>56144.844000000005</v>
      </c>
      <c r="C6">
        <v>952</v>
      </c>
      <c r="D6">
        <v>2673.5639999999994</v>
      </c>
    </row>
    <row r="7" spans="1:4" x14ac:dyDescent="0.3">
      <c r="A7" t="s">
        <v>22</v>
      </c>
      <c r="B7">
        <v>49193.739000000016</v>
      </c>
      <c r="C7">
        <v>854</v>
      </c>
      <c r="D7">
        <v>2342.5589999999993</v>
      </c>
    </row>
    <row r="8" spans="1:4" x14ac:dyDescent="0.3">
      <c r="A8" t="s">
        <v>32</v>
      </c>
      <c r="B8">
        <v>53861.913000000008</v>
      </c>
      <c r="C8">
        <v>911</v>
      </c>
      <c r="D8">
        <v>2564.8530000000019</v>
      </c>
    </row>
    <row r="9" spans="1:4" x14ac:dyDescent="0.3">
      <c r="A9" t="s">
        <v>36</v>
      </c>
      <c r="B9">
        <v>55122.826499999996</v>
      </c>
      <c r="C9">
        <v>920</v>
      </c>
      <c r="D9">
        <v>2624.8964999999994</v>
      </c>
    </row>
    <row r="10" spans="1:4" x14ac:dyDescent="0.3">
      <c r="A10" s="12" t="s">
        <v>1037</v>
      </c>
      <c r="B10" s="12">
        <v>322966.74900000007</v>
      </c>
      <c r="C10" s="12">
        <v>5510</v>
      </c>
      <c r="D10" s="12">
        <v>15379.369000000002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6C65A-8C5D-44C3-986B-F686BDE8744D}">
  <dimension ref="A3:B10"/>
  <sheetViews>
    <sheetView workbookViewId="0">
      <selection activeCell="M12" sqref="M12"/>
    </sheetView>
  </sheetViews>
  <sheetFormatPr defaultRowHeight="14.4" x14ac:dyDescent="0.3"/>
  <cols>
    <col min="1" max="1" width="19.109375" bestFit="1" customWidth="1"/>
    <col min="2" max="2" width="14.88671875" bestFit="1" customWidth="1"/>
  </cols>
  <sheetData>
    <row r="3" spans="1:2" x14ac:dyDescent="0.3">
      <c r="A3" s="3" t="s">
        <v>1036</v>
      </c>
      <c r="B3" t="s">
        <v>1039</v>
      </c>
    </row>
    <row r="4" spans="1:2" x14ac:dyDescent="0.3">
      <c r="A4" s="4" t="s">
        <v>28</v>
      </c>
      <c r="B4">
        <v>971</v>
      </c>
    </row>
    <row r="5" spans="1:2" x14ac:dyDescent="0.3">
      <c r="A5" s="4" t="s">
        <v>46</v>
      </c>
      <c r="B5">
        <v>902</v>
      </c>
    </row>
    <row r="6" spans="1:2" x14ac:dyDescent="0.3">
      <c r="A6" s="4" t="s">
        <v>44</v>
      </c>
      <c r="B6">
        <v>952</v>
      </c>
    </row>
    <row r="7" spans="1:2" x14ac:dyDescent="0.3">
      <c r="A7" s="4" t="s">
        <v>22</v>
      </c>
      <c r="B7">
        <v>854</v>
      </c>
    </row>
    <row r="8" spans="1:2" x14ac:dyDescent="0.3">
      <c r="A8" s="4" t="s">
        <v>32</v>
      </c>
      <c r="B8">
        <v>911</v>
      </c>
    </row>
    <row r="9" spans="1:2" x14ac:dyDescent="0.3">
      <c r="A9" s="4" t="s">
        <v>36</v>
      </c>
      <c r="B9">
        <v>920</v>
      </c>
    </row>
    <row r="10" spans="1:2" x14ac:dyDescent="0.3">
      <c r="A10" s="4" t="s">
        <v>1037</v>
      </c>
      <c r="B10">
        <v>5510</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82679-1FA8-4263-8EAD-B7CD1BDFC207}">
  <dimension ref="A3:B10"/>
  <sheetViews>
    <sheetView workbookViewId="0">
      <selection activeCell="K5" sqref="K5"/>
    </sheetView>
  </sheetViews>
  <sheetFormatPr defaultRowHeight="14.4" x14ac:dyDescent="0.3"/>
  <cols>
    <col min="1" max="1" width="19.109375" bestFit="1" customWidth="1"/>
    <col min="2" max="2" width="18.6640625" bestFit="1" customWidth="1"/>
  </cols>
  <sheetData>
    <row r="3" spans="1:2" x14ac:dyDescent="0.3">
      <c r="A3" s="3" t="s">
        <v>1036</v>
      </c>
      <c r="B3" t="s">
        <v>1040</v>
      </c>
    </row>
    <row r="4" spans="1:2" x14ac:dyDescent="0.3">
      <c r="A4" s="4" t="s">
        <v>28</v>
      </c>
      <c r="B4">
        <v>2587.5015000000017</v>
      </c>
    </row>
    <row r="5" spans="1:2" x14ac:dyDescent="0.3">
      <c r="A5" s="4" t="s">
        <v>46</v>
      </c>
      <c r="B5">
        <v>2585.9949999999999</v>
      </c>
    </row>
    <row r="6" spans="1:2" x14ac:dyDescent="0.3">
      <c r="A6" s="4" t="s">
        <v>44</v>
      </c>
      <c r="B6">
        <v>2673.5639999999994</v>
      </c>
    </row>
    <row r="7" spans="1:2" x14ac:dyDescent="0.3">
      <c r="A7" s="4" t="s">
        <v>22</v>
      </c>
      <c r="B7">
        <v>2342.5589999999993</v>
      </c>
    </row>
    <row r="8" spans="1:2" x14ac:dyDescent="0.3">
      <c r="A8" s="4" t="s">
        <v>32</v>
      </c>
      <c r="B8">
        <v>2564.8530000000019</v>
      </c>
    </row>
    <row r="9" spans="1:2" x14ac:dyDescent="0.3">
      <c r="A9" s="4" t="s">
        <v>36</v>
      </c>
      <c r="B9">
        <v>2624.8964999999994</v>
      </c>
    </row>
    <row r="10" spans="1:2" x14ac:dyDescent="0.3">
      <c r="A10" s="4" t="s">
        <v>1037</v>
      </c>
      <c r="B10">
        <v>15379.369000000002</v>
      </c>
    </row>
  </sheetData>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13416-CE21-42A6-9881-715C35454723}">
  <dimension ref="A3:C5"/>
  <sheetViews>
    <sheetView workbookViewId="0">
      <selection activeCell="A3" sqref="A3:C5"/>
    </sheetView>
  </sheetViews>
  <sheetFormatPr defaultRowHeight="14.4" x14ac:dyDescent="0.3"/>
  <cols>
    <col min="1" max="1" width="12.5546875" bestFit="1" customWidth="1"/>
    <col min="2" max="2" width="11.6640625" bestFit="1" customWidth="1"/>
    <col min="3" max="3" width="18.6640625" bestFit="1" customWidth="1"/>
  </cols>
  <sheetData>
    <row r="3" spans="1:3" x14ac:dyDescent="0.3">
      <c r="A3" s="3" t="s">
        <v>1036</v>
      </c>
      <c r="B3" t="s">
        <v>1038</v>
      </c>
      <c r="C3" t="s">
        <v>1040</v>
      </c>
    </row>
    <row r="4" spans="1:3" x14ac:dyDescent="0.3">
      <c r="A4" s="4" t="s">
        <v>20</v>
      </c>
      <c r="B4">
        <v>1041.5055</v>
      </c>
      <c r="C4">
        <v>49.595500000000001</v>
      </c>
    </row>
    <row r="5" spans="1:3" x14ac:dyDescent="0.3">
      <c r="A5" s="4" t="s">
        <v>1037</v>
      </c>
      <c r="B5">
        <v>1041.5055</v>
      </c>
      <c r="C5">
        <v>49.595500000000001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148C6-2C6D-40FC-8726-3C04F0BD27EC}">
  <dimension ref="A3:B7"/>
  <sheetViews>
    <sheetView workbookViewId="0">
      <selection activeCell="A3" sqref="A3:B7"/>
    </sheetView>
  </sheetViews>
  <sheetFormatPr defaultRowHeight="14.4" x14ac:dyDescent="0.3"/>
  <cols>
    <col min="1" max="1" width="12.5546875" bestFit="1" customWidth="1"/>
    <col min="2" max="2" width="12" bestFit="1" customWidth="1"/>
  </cols>
  <sheetData>
    <row r="3" spans="1:2" x14ac:dyDescent="0.3">
      <c r="A3" s="3" t="s">
        <v>1036</v>
      </c>
      <c r="B3" t="s">
        <v>1038</v>
      </c>
    </row>
    <row r="4" spans="1:2" x14ac:dyDescent="0.3">
      <c r="A4" s="4" t="s">
        <v>18</v>
      </c>
      <c r="B4">
        <v>106200.37050000011</v>
      </c>
    </row>
    <row r="5" spans="1:2" x14ac:dyDescent="0.3">
      <c r="A5" s="4" t="s">
        <v>42</v>
      </c>
      <c r="B5">
        <v>106197.67199999996</v>
      </c>
    </row>
    <row r="6" spans="1:2" x14ac:dyDescent="0.3">
      <c r="A6" s="4" t="s">
        <v>25</v>
      </c>
      <c r="B6">
        <v>110568.70649999994</v>
      </c>
    </row>
    <row r="7" spans="1:2" x14ac:dyDescent="0.3">
      <c r="A7" s="4" t="s">
        <v>1037</v>
      </c>
      <c r="B7">
        <v>322966.74900000001</v>
      </c>
    </row>
  </sheetData>
  <pageMargins left="0.7" right="0.7" top="0.75" bottom="0.75" header="0.3" footer="0.3"/>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F380C-2F31-4BF0-9597-3A274BB338CA}">
  <dimension ref="A3:B7"/>
  <sheetViews>
    <sheetView workbookViewId="0">
      <selection activeCell="O12" sqref="O12"/>
    </sheetView>
  </sheetViews>
  <sheetFormatPr defaultRowHeight="14.4" x14ac:dyDescent="0.3"/>
  <cols>
    <col min="1" max="1" width="12.5546875" bestFit="1" customWidth="1"/>
    <col min="2" max="2" width="14.88671875" bestFit="1" customWidth="1"/>
  </cols>
  <sheetData>
    <row r="3" spans="1:2" x14ac:dyDescent="0.3">
      <c r="A3" s="3" t="s">
        <v>1036</v>
      </c>
      <c r="B3" t="s">
        <v>1039</v>
      </c>
    </row>
    <row r="4" spans="1:2" x14ac:dyDescent="0.3">
      <c r="A4" s="4" t="s">
        <v>18</v>
      </c>
      <c r="B4">
        <v>1859</v>
      </c>
    </row>
    <row r="5" spans="1:2" x14ac:dyDescent="0.3">
      <c r="A5" s="4" t="s">
        <v>42</v>
      </c>
      <c r="B5">
        <v>1820</v>
      </c>
    </row>
    <row r="6" spans="1:2" x14ac:dyDescent="0.3">
      <c r="A6" s="4" t="s">
        <v>25</v>
      </c>
      <c r="B6">
        <v>1831</v>
      </c>
    </row>
    <row r="7" spans="1:2" x14ac:dyDescent="0.3">
      <c r="A7" s="4" t="s">
        <v>1037</v>
      </c>
      <c r="B7">
        <v>5510</v>
      </c>
    </row>
  </sheetData>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0B7B0-21C7-4DD1-A6EB-001961FE86A4}">
  <dimension ref="A3:B7"/>
  <sheetViews>
    <sheetView workbookViewId="0">
      <selection activeCell="A3" sqref="A3:B7"/>
    </sheetView>
  </sheetViews>
  <sheetFormatPr defaultRowHeight="14.4" x14ac:dyDescent="0.3"/>
  <cols>
    <col min="1" max="1" width="12.5546875" bestFit="1" customWidth="1"/>
    <col min="2" max="2" width="16" bestFit="1" customWidth="1"/>
  </cols>
  <sheetData>
    <row r="3" spans="1:2" x14ac:dyDescent="0.3">
      <c r="A3" s="3" t="s">
        <v>1036</v>
      </c>
      <c r="B3" t="s">
        <v>1041</v>
      </c>
    </row>
    <row r="4" spans="1:2" x14ac:dyDescent="0.3">
      <c r="A4" s="4" t="s">
        <v>18</v>
      </c>
      <c r="B4">
        <v>7.0270588235294129</v>
      </c>
    </row>
    <row r="5" spans="1:2" x14ac:dyDescent="0.3">
      <c r="A5" s="4" t="s">
        <v>42</v>
      </c>
      <c r="B5">
        <v>6.8180722891566266</v>
      </c>
    </row>
    <row r="6" spans="1:2" x14ac:dyDescent="0.3">
      <c r="A6" s="4" t="s">
        <v>25</v>
      </c>
      <c r="B6">
        <v>7.0728658536585378</v>
      </c>
    </row>
    <row r="7" spans="1:2" x14ac:dyDescent="0.3">
      <c r="A7" s="4" t="s">
        <v>1037</v>
      </c>
      <c r="B7">
        <v>6.9726999999999997</v>
      </c>
    </row>
  </sheetData>
  <pageMargins left="0.7" right="0.7" top="0.75" bottom="0.75" header="0.3" footer="0.3"/>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81DA8-338B-494C-929A-9FECFC2DB04F}">
  <dimension ref="A3:B7"/>
  <sheetViews>
    <sheetView workbookViewId="0">
      <selection activeCell="A3" sqref="A3:B7"/>
    </sheetView>
  </sheetViews>
  <sheetFormatPr defaultRowHeight="14.4" x14ac:dyDescent="0.3"/>
  <cols>
    <col min="1" max="1" width="12.5546875" bestFit="1" customWidth="1"/>
    <col min="2" max="2" width="15.6640625" bestFit="1" customWidth="1"/>
  </cols>
  <sheetData>
    <row r="3" spans="1:2" x14ac:dyDescent="0.3">
      <c r="A3" s="3" t="s">
        <v>1036</v>
      </c>
      <c r="B3" t="s">
        <v>1044</v>
      </c>
    </row>
    <row r="4" spans="1:2" x14ac:dyDescent="0.3">
      <c r="A4" s="4" t="s">
        <v>18</v>
      </c>
      <c r="B4">
        <v>18625.489999999998</v>
      </c>
    </row>
    <row r="5" spans="1:2" x14ac:dyDescent="0.3">
      <c r="A5" s="4" t="s">
        <v>42</v>
      </c>
      <c r="B5">
        <v>18478.88</v>
      </c>
    </row>
    <row r="6" spans="1:2" x14ac:dyDescent="0.3">
      <c r="A6" s="4" t="s">
        <v>25</v>
      </c>
      <c r="B6">
        <v>18567.759999999998</v>
      </c>
    </row>
    <row r="7" spans="1:2" x14ac:dyDescent="0.3">
      <c r="A7" s="4" t="s">
        <v>1037</v>
      </c>
      <c r="B7">
        <v>55672.12999999999</v>
      </c>
    </row>
  </sheetData>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85C90-4ED3-498A-9403-FAAFDC99B971}">
  <dimension ref="A3:D7"/>
  <sheetViews>
    <sheetView workbookViewId="0">
      <selection activeCell="A3" sqref="A3:D7"/>
    </sheetView>
  </sheetViews>
  <sheetFormatPr defaultRowHeight="14.4" x14ac:dyDescent="0.3"/>
  <cols>
    <col min="1" max="1" width="16.44140625" bestFit="1" customWidth="1"/>
    <col min="2" max="2" width="15.6640625" bestFit="1" customWidth="1"/>
    <col min="3" max="3" width="19.77734375" bestFit="1" customWidth="1"/>
    <col min="4" max="4" width="21.5546875" bestFit="1" customWidth="1"/>
  </cols>
  <sheetData>
    <row r="3" spans="1:4" ht="18" x14ac:dyDescent="0.35">
      <c r="A3" s="13" t="s">
        <v>1045</v>
      </c>
      <c r="B3" s="14" t="s">
        <v>1038</v>
      </c>
      <c r="C3" s="14" t="s">
        <v>1039</v>
      </c>
      <c r="D3" s="14" t="s">
        <v>1041</v>
      </c>
    </row>
    <row r="4" spans="1:4" x14ac:dyDescent="0.3">
      <c r="A4" s="16" t="s">
        <v>18</v>
      </c>
      <c r="B4" s="28">
        <v>106200.37050000011</v>
      </c>
      <c r="C4" s="28">
        <v>1859</v>
      </c>
      <c r="D4" s="28">
        <v>7.0270588235294129</v>
      </c>
    </row>
    <row r="5" spans="1:4" x14ac:dyDescent="0.3">
      <c r="A5" s="16" t="s">
        <v>42</v>
      </c>
      <c r="B5" s="28">
        <v>106197.67199999996</v>
      </c>
      <c r="C5" s="28">
        <v>1820</v>
      </c>
      <c r="D5" s="28">
        <v>6.8180722891566266</v>
      </c>
    </row>
    <row r="6" spans="1:4" x14ac:dyDescent="0.3">
      <c r="A6" s="16" t="s">
        <v>25</v>
      </c>
      <c r="B6" s="28">
        <v>110568.70649999994</v>
      </c>
      <c r="C6" s="28">
        <v>1831</v>
      </c>
      <c r="D6" s="28">
        <v>7.0728658536585378</v>
      </c>
    </row>
    <row r="7" spans="1:4" s="15" customFormat="1" x14ac:dyDescent="0.3">
      <c r="A7" s="17" t="s">
        <v>1037</v>
      </c>
      <c r="B7" s="29">
        <v>322966.74900000042</v>
      </c>
      <c r="C7" s="29">
        <v>5510</v>
      </c>
      <c r="D7" s="29">
        <v>6.9726999999999997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Dashboard</vt:lpstr>
      <vt:lpstr>Branch_Analysis</vt:lpstr>
      <vt:lpstr>Product_Analysis</vt:lpstr>
      <vt:lpstr>Deeper_Analysis</vt:lpstr>
      <vt:lpstr>Data</vt:lpstr>
      <vt:lpstr>Deeper_analysis_total</vt:lpstr>
      <vt:lpstr>Deeper_ana_quantity</vt:lpstr>
      <vt:lpstr>Deeper_analysis_sales</vt:lpstr>
      <vt:lpstr>Dashboard_Total_Sales</vt:lpstr>
      <vt:lpstr>Dashboard_Gross_income</vt:lpstr>
      <vt:lpstr>Dashboard_Quantity_products</vt:lpstr>
      <vt:lpstr>Dashboard_5%Tax_branch</vt:lpstr>
      <vt:lpstr>Dashboard_Sales_Branch</vt:lpstr>
      <vt:lpstr>Dashboard_Ratings</vt:lpstr>
      <vt:lpstr>Dashboard_Quantity_Branch</vt:lpstr>
      <vt:lpstr>Customer_anal_quantity</vt:lpstr>
      <vt:lpstr>Customer_unitprice</vt:lpstr>
      <vt:lpstr>dashboard_slicer_Payment</vt:lpstr>
      <vt:lpstr>Dashboard_Product_Sales</vt:lpstr>
      <vt:lpstr>Customer_sales</vt:lpstr>
      <vt:lpstr>Customer_analysis_sales</vt:lpstr>
      <vt:lpstr>Product_anyl_unitprice</vt:lpstr>
      <vt:lpstr>Product_line_table</vt:lpstr>
      <vt:lpstr>Product_line_quantity</vt:lpstr>
      <vt:lpstr>Product_line_gross</vt:lpstr>
      <vt:lpstr>Slicer_Dashboard</vt:lpstr>
      <vt:lpstr>Branch_anl_total</vt:lpstr>
      <vt:lpstr>Branch_anal_quantitusold</vt:lpstr>
      <vt:lpstr>Branch_anal_rating</vt:lpstr>
      <vt:lpstr>Branch_anal_unitpric</vt:lpstr>
      <vt:lpstr>Branch_Any_table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jujhar singh</dc:creator>
  <cp:lastModifiedBy>jujhar singh</cp:lastModifiedBy>
  <dcterms:created xsi:type="dcterms:W3CDTF">2026-09-03T09:34:09Z</dcterms:created>
  <dcterms:modified xsi:type="dcterms:W3CDTF">2026-09-06T12:39:01Z</dcterms:modified>
</cp:coreProperties>
</file>